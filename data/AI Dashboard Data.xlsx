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nomic Data (To Do GDP estima" sheetId="1" r:id="rId5"/>
    <sheet state="visible" name="Social Data " sheetId="2" r:id="rId6"/>
    <sheet state="visible" name="Political Data" sheetId="3" r:id="rId7"/>
    <sheet state="visible" name="Capability (To Do leading mdls " sheetId="4" r:id="rId8"/>
    <sheet state="visible" name="Calculations" sheetId="5" r:id="rId9"/>
  </sheets>
  <definedNames/>
  <calcPr/>
</workbook>
</file>

<file path=xl/sharedStrings.xml><?xml version="1.0" encoding="utf-8"?>
<sst xmlns="http://schemas.openxmlformats.org/spreadsheetml/2006/main" count="406" uniqueCount="299">
  <si>
    <t>Economic Data</t>
  </si>
  <si>
    <t>Release Data</t>
  </si>
  <si>
    <t>Last Update: [ Date of Publication ]</t>
  </si>
  <si>
    <t>#</t>
  </si>
  <si>
    <t xml:space="preserve">Indicator </t>
  </si>
  <si>
    <t>Value</t>
  </si>
  <si>
    <t>Cite</t>
  </si>
  <si>
    <t>Date</t>
  </si>
  <si>
    <t>GDP Contribution From AI</t>
  </si>
  <si>
    <t>Real GDP Growth: 1) Long Run Average- 3.2%, a) Information Processing Equipment 0.18        b) Software 0.10 c) R&amp;D 0.07        d) Data Centers 0.04</t>
  </si>
  <si>
    <r>
      <t>Hannah Rubinton and Bontu Ankit Patro, “</t>
    </r>
    <r>
      <rPr>
        <rFont val="Roboto"/>
        <color rgb="FF1155CC"/>
        <sz val="12.0"/>
        <u/>
      </rPr>
      <t>Tracking AI’s Contribution to GDP Growth</t>
    </r>
    <r>
      <rPr>
        <rFont val="Roboto !important"/>
        <color rgb="FF000000"/>
      </rPr>
      <t>,” St. Louis Fed On the Economy, Jan. 12, 2026.</t>
    </r>
  </si>
  <si>
    <t>Employment in AI sector</t>
  </si>
  <si>
    <t>???</t>
  </si>
  <si>
    <t>Unemployment Rate</t>
  </si>
  <si>
    <t xml:space="preserve">4.5% Dec 2025, US. </t>
  </si>
  <si>
    <t>Productivity benefits of AI-</t>
  </si>
  <si>
    <t xml:space="preserve">27% productivity growth rate between 2018-2024 compared to 7% from 2018-2022 for industries most exposed to AI (finance, software, etc). Industries least exposed to AI, such as mining, declined 9-10% during that time. </t>
  </si>
  <si>
    <r>
      <rPr>
        <color rgb="FF1155CC"/>
        <u/>
      </rPr>
      <t>PwC 2025 Global AI Jobs Barometer | PwC</t>
    </r>
  </si>
  <si>
    <t>Historical Productivity</t>
  </si>
  <si>
    <r>
      <rPr>
        <color rgb="FF1155CC"/>
        <u/>
      </rPr>
      <t>AI and Productivity Growth: Evidence from Previous Technologies</t>
    </r>
  </si>
  <si>
    <t>% of companies using AI in HR</t>
  </si>
  <si>
    <t>40% of CEOS from PWC's 2025 AI Agent Survey reported that their firm uses AI agents in HR.</t>
  </si>
  <si>
    <t>% of companies using AI to review resumes</t>
  </si>
  <si>
    <t>% of companies using AI for the entire interview process</t>
  </si>
  <si>
    <t>% of Linkedin Members considered AI engineering talent</t>
  </si>
  <si>
    <t>7/1000, 130% between 2016 and 2024</t>
  </si>
  <si>
    <t xml:space="preserve">Growing roles </t>
  </si>
  <si>
    <t>AI engineers, shrinking are clerks</t>
  </si>
  <si>
    <r>
      <rPr>
        <color rgb="FF1155CC"/>
        <u/>
      </rPr>
      <t>WEF_Future_of_Jobs_Report_2025.pdf</t>
    </r>
  </si>
  <si>
    <t>Region</t>
  </si>
  <si>
    <t>Open AI Positions</t>
  </si>
  <si>
    <t>Available Talent Pool</t>
  </si>
  <si>
    <t>Average Time to Fill</t>
  </si>
  <si>
    <t>North America</t>
  </si>
  <si>
    <t>4.8 months</t>
  </si>
  <si>
    <t>Global Total</t>
  </si>
  <si>
    <t>4.7 months</t>
  </si>
  <si>
    <t>Size of AI companionship mkt</t>
  </si>
  <si>
    <r>
      <rPr>
        <color rgb="FF1155CC"/>
        <u/>
      </rPr>
      <t>AI Companion Platform Market Outlook 2025-2032</t>
    </r>
  </si>
  <si>
    <t>Data Centers / Energy Sector</t>
  </si>
  <si>
    <r>
      <rPr>
        <color rgb="FF1155CC"/>
        <u/>
      </rPr>
      <t>United States Data Center Market Size &amp; Forecast, 2025-2032</t>
    </r>
  </si>
  <si>
    <t>Bloom</t>
  </si>
  <si>
    <t>Mkt Cap</t>
  </si>
  <si>
    <t>31.58B</t>
  </si>
  <si>
    <t>CoreWeave</t>
  </si>
  <si>
    <t>Datacenter Industry</t>
  </si>
  <si>
    <r>
      <rPr>
        <color rgb="FF1155CC"/>
        <u/>
      </rPr>
      <t>The cost of compute power: A $7 trillion race | McKinsey</t>
    </r>
  </si>
  <si>
    <t>Global Demand Forecasted</t>
  </si>
  <si>
    <t>Forecasted Total (GW)</t>
  </si>
  <si>
    <t xml:space="preserve">AI </t>
  </si>
  <si>
    <t>Non-AI</t>
  </si>
  <si>
    <t>Current Size</t>
  </si>
  <si>
    <r>
      <rPr/>
      <t>Projected Outlays (</t>
    </r>
    <r>
      <rPr>
        <color rgb="FF1155CC"/>
        <u/>
      </rPr>
      <t>McKinsey Report)</t>
    </r>
  </si>
  <si>
    <t>$6.7T by 2030, $5.2T for AI and $1.2T for IT</t>
  </si>
  <si>
    <t>Investment Breakdown by Industry</t>
  </si>
  <si>
    <t>Industry</t>
  </si>
  <si>
    <t>%</t>
  </si>
  <si>
    <t>$</t>
  </si>
  <si>
    <t>Builders</t>
  </si>
  <si>
    <t>$.8T</t>
  </si>
  <si>
    <t>Energy Providers</t>
  </si>
  <si>
    <t>$1.3T</t>
  </si>
  <si>
    <t>Tech Providers</t>
  </si>
  <si>
    <t>$3.1T</t>
  </si>
  <si>
    <t># of Datacenters Globally</t>
  </si>
  <si>
    <t>10000+</t>
  </si>
  <si>
    <r>
      <rPr>
        <color rgb="FF1155CC"/>
        <u/>
      </rPr>
      <t>Data Center Map - Colocation, Cloud and Connectivity</t>
    </r>
  </si>
  <si>
    <t># of Datacenters in the US</t>
  </si>
  <si>
    <r>
      <rPr>
        <color rgb="FF1155CC"/>
        <u/>
      </rPr>
      <t>Data Center Map - Colocation, Cloud and Connectivity</t>
    </r>
  </si>
  <si>
    <r>
      <rPr>
        <rFont val="Arial"/>
        <color theme="1"/>
      </rPr>
      <t xml:space="preserve">Would be </t>
    </r>
    <r>
      <rPr>
        <rFont val="Arial"/>
        <b/>
        <i/>
        <color theme="1"/>
        <u/>
      </rPr>
      <t>pretty sick</t>
    </r>
    <r>
      <rPr>
        <rFont val="Arial"/>
        <color theme="1"/>
      </rPr>
      <t xml:space="preserve"> to have a real time tracker of these guys net worth!!</t>
    </r>
  </si>
  <si>
    <t>/// UltraRich from AI</t>
  </si>
  <si>
    <t>Net Worth ($)</t>
  </si>
  <si>
    <t>Calculations:</t>
  </si>
  <si>
    <t>Billion</t>
  </si>
  <si>
    <t>Sam Altman Net Worth</t>
  </si>
  <si>
    <t>$1.8B ; No equity in OpenAI, wealth mainly from investments in Reddit, Stripe, and Helion.</t>
  </si>
  <si>
    <r>
      <rPr>
        <color rgb="FF1155CC"/>
        <u/>
      </rPr>
      <t>Sam Altman</t>
    </r>
  </si>
  <si>
    <t>Dario Amodai</t>
  </si>
  <si>
    <t>$3.7B; Anthrophic Cofounder and CEO. 2%  equity stake in the company.</t>
  </si>
  <si>
    <r>
      <rPr>
        <color rgb="FF1155CC"/>
        <u/>
      </rPr>
      <t>Dario Amodei</t>
    </r>
  </si>
  <si>
    <t xml:space="preserve">Jensen Huang </t>
  </si>
  <si>
    <t>$98.7B; Owns 3% of Nividia. Wealth increased by $77.6B since 2023 and the AI boom.</t>
  </si>
  <si>
    <r>
      <rPr>
        <color rgb="FF1155CC"/>
        <u/>
      </rPr>
      <t>Jensen Huang</t>
    </r>
  </si>
  <si>
    <t>Daniela Amodei</t>
  </si>
  <si>
    <t>$3.7B; Anthrophic Cofounder, her brother is the CEO.</t>
  </si>
  <si>
    <t>Elon Musk</t>
  </si>
  <si>
    <t>$342B; Owns 12% of Tesla, 42% stake in SpaceX, and 49% stake in xAI (worth $122B post X-xAI merger).</t>
  </si>
  <si>
    <t>Larry Ellison</t>
  </si>
  <si>
    <t>$192B; Cofounder and CTO of Oracle. Owns 40% stake in the company.</t>
  </si>
  <si>
    <r>
      <rPr>
        <color rgb="FF1155CC"/>
        <u/>
      </rPr>
      <t>Forbes 2025 Billionaires List - The Richest People In The World Ranked</t>
    </r>
  </si>
  <si>
    <t>Larry Page</t>
  </si>
  <si>
    <t>$144B; Owns 6.1% equity stake in Alphabet but 51% voting power with Sergrey Brin.</t>
  </si>
  <si>
    <r>
      <rPr>
        <color rgb="FF1155CC"/>
        <u/>
      </rPr>
      <t>Larry Page</t>
    </r>
    <r>
      <rPr>
        <color rgb="FF000000"/>
      </rPr>
      <t xml:space="preserve"> ; </t>
    </r>
    <r>
      <rPr>
        <color rgb="FF1155CC"/>
        <u/>
      </rPr>
      <t>https://www.kamilfranek.com/who-owns-google-alphabet/</t>
    </r>
  </si>
  <si>
    <t>Sergey Brin</t>
  </si>
  <si>
    <t>$138B; Owns 5.7% equity stake in Alphabet but he and Larry Page control 51% of voting power.</t>
  </si>
  <si>
    <t>https://www.forbes.com/profile/sergey-brin/?list=billionaires ; https://www.kamilfranek.com/who-owns-google-alphabet/</t>
  </si>
  <si>
    <t>Mark Zuckerberg</t>
  </si>
  <si>
    <t xml:space="preserve">$216B; Owns 13% of Meta. </t>
  </si>
  <si>
    <r>
      <rPr>
        <color rgb="FF1155CC"/>
        <u/>
      </rPr>
      <t>Mark Zuckerberg</t>
    </r>
  </si>
  <si>
    <t>Masayoshi Son</t>
  </si>
  <si>
    <t>$29.4B; Founder and operater of Softbank Group. Investing billions in AI, including in the Stargate Project.</t>
  </si>
  <si>
    <r>
      <rPr>
        <color rgb="FF1155CC"/>
        <u/>
      </rPr>
      <t>Masayoshi Son</t>
    </r>
  </si>
  <si>
    <t>Jeff Bezos</t>
  </si>
  <si>
    <t>$215B; Owns 8% stake in Amazon.</t>
  </si>
  <si>
    <r>
      <rPr>
        <color rgb="FF1155CC"/>
        <u/>
      </rPr>
      <t>Jeff Bezos</t>
    </r>
  </si>
  <si>
    <t>Michael Dell</t>
  </si>
  <si>
    <t>$97.7B; Founder and CEO of Dell Technologies. Most of his wealth stems from DFO, his family office</t>
  </si>
  <si>
    <r>
      <rPr>
        <color rgb="FF1155CC"/>
        <u/>
      </rPr>
      <t>Michael Dell</t>
    </r>
  </si>
  <si>
    <t>/// Average Joe</t>
  </si>
  <si>
    <t>Median Salary (2025)</t>
  </si>
  <si>
    <r>
      <rPr>
        <color rgb="FF1155CC"/>
        <u/>
      </rPr>
      <t>Employed full time: Median usual weekly nominal earnings (second quartile): Wage and salary workers: 16 years and over (LES1252881500Q) | FRED | St. Louis Fed</t>
    </r>
  </si>
  <si>
    <t>Median American Household Net Worth (2022- most recent survey)</t>
  </si>
  <si>
    <r>
      <rPr>
        <color rgb="FF1155CC"/>
        <u/>
      </rPr>
      <t>Federal Reserve Board - Survey of Consumer Finances (SCF)</t>
    </r>
  </si>
  <si>
    <t>Release Cites</t>
  </si>
  <si>
    <t>Source</t>
  </si>
  <si>
    <r>
      <rPr>
        <color rgb="FF1155CC"/>
        <u/>
      </rPr>
      <t>Tracking AI’s Contribution to GDP Growth | St. Louis Fed</t>
    </r>
  </si>
  <si>
    <r>
      <t>Hannah Rubinton and Bontu Ankit Patro, “</t>
    </r>
    <r>
      <rPr>
        <rFont val="Roboto"/>
        <color rgb="FF1155CC"/>
        <sz val="12.0"/>
        <u/>
      </rPr>
      <t>Tracking AI’s Contribution to GDP Growth</t>
    </r>
    <r>
      <rPr>
        <rFont val="Roboto !important"/>
        <color rgb="FF000000"/>
      </rPr>
      <t>,” St. Louis Fed On the Economy, Jan. 12, 2026.</t>
    </r>
  </si>
  <si>
    <t>Employment in AI secto</t>
  </si>
  <si>
    <r>
      <rPr>
        <color rgb="FF1155CC"/>
        <u/>
      </rPr>
      <t>150+ AI in HR Statistics &amp; Trends for 2026</t>
    </r>
  </si>
  <si>
    <t>TBD</t>
  </si>
  <si>
    <r>
      <rPr>
        <color rgb="FF1155CC"/>
        <u/>
      </rPr>
      <t>Civilian unemployment rate</t>
    </r>
  </si>
  <si>
    <r>
      <rPr>
        <color rgb="FF1155CC"/>
        <u/>
      </rPr>
      <t>PwC 2025 Global AI Jobs Barometer | PwC</t>
    </r>
  </si>
  <si>
    <r>
      <rPr>
        <color rgb="FF1155CC"/>
        <u/>
      </rPr>
      <t>AI agent survey: PwC</t>
    </r>
  </si>
  <si>
    <r>
      <rPr>
        <color rgb="FF1155CC"/>
        <u/>
      </rPr>
      <t>7 in 10 Companies Will Use AI in the Hiring Process in 2025, Despite Most Saying It’s Biased - ResumeBuilder.com</t>
    </r>
  </si>
  <si>
    <r>
      <rPr>
        <color rgb="FF1155CC"/>
        <u/>
      </rPr>
      <t>7 in 10 Companies Will Use AI in the Hiring Process in 2025, Despite Most Saying It’s Biased - ResumeBuilder.com</t>
    </r>
  </si>
  <si>
    <r>
      <rPr>
        <color rgb="FF1155CC"/>
        <u/>
      </rPr>
      <t>The AI Workforce: What LinkedIn data reveals about ‘AI Talent’ trends in OECD.AI’s live data - OECD.AI</t>
    </r>
  </si>
  <si>
    <t xml:space="preserve">OECD's prediction of AI's contribution to G7's growth rate </t>
  </si>
  <si>
    <r>
      <rPr>
        <color rgb="FF1155CC"/>
        <u/>
      </rPr>
      <t>Macroeconomic productivity gains from Artificial Intelligence in G7 economies | OECD</t>
    </r>
  </si>
  <si>
    <t>Scenario</t>
  </si>
  <si>
    <t>Exposure given AI capabilities*</t>
  </si>
  <si>
    <t>AI adoption pace**</t>
  </si>
  <si>
    <t>AI’s predicted contribution to annual labour productivity growth over the next decade (in p.p.)</t>
  </si>
  <si>
    <t>USA</t>
  </si>
  <si>
    <t>GBR</t>
  </si>
  <si>
    <t>DEU</t>
  </si>
  <si>
    <t>CAN</t>
  </si>
  <si>
    <t>FRA</t>
  </si>
  <si>
    <t>ITA</t>
  </si>
  <si>
    <t>JPN</t>
  </si>
  <si>
    <t>Slow adoption</t>
  </si>
  <si>
    <t>Baseline</t>
  </si>
  <si>
    <t>Slow
 (as electricity)</t>
  </si>
  <si>
    <t>Medium adoption and expanded AI capabilities</t>
  </si>
  <si>
    <t>Expanded</t>
  </si>
  <si>
    <t>Medium
 (as computers &amp; internet)</t>
  </si>
  <si>
    <t>Rapid adoption and expanded AI capabilities</t>
  </si>
  <si>
    <t>Rapid (as mobile phones)</t>
  </si>
  <si>
    <t>Social Data</t>
  </si>
  <si>
    <t>Character AI data-&gt;</t>
  </si>
  <si>
    <t>https://www.demandsage.com/character-ai-statistics/</t>
  </si>
  <si>
    <t># of People who use AI</t>
  </si>
  <si>
    <r>
      <rPr>
        <color rgb="FF1155CC"/>
        <u/>
      </rPr>
      <t>Global AI Adoption in 2025 – AI Economy Institute | Microsoft</t>
    </r>
  </si>
  <si>
    <t>% of People who use AI</t>
  </si>
  <si>
    <t>16.3% globally, 14.1% Global South, 24.7% Global North</t>
  </si>
  <si>
    <r>
      <rPr>
        <color rgb="FF1155CC"/>
        <u/>
      </rPr>
      <t>Global AI Adoption in 2025 – AI Economy Institute | Microsoft</t>
    </r>
  </si>
  <si>
    <t># of people who use Ai as a companion</t>
  </si>
  <si>
    <t>% of people who use AI as a compainion</t>
  </si>
  <si>
    <t>% of US adults who have used AI</t>
  </si>
  <si>
    <t>https://www.pewresearch.org/internet/2025/04/03/artificial-intelligence-in-daily-life-views-and-experiences/</t>
  </si>
  <si>
    <t>US teens who say these use AI daily</t>
  </si>
  <si>
    <t>https://www.pewresearch.org/internet/2025/12/09/teens-social-media-and-ai-chatbots-2025/#:~:text=Roughly%20two%2Dthirds%20of%20teens,among%20White%20teens%20(58%25).</t>
  </si>
  <si>
    <t>/// Companionship++ data below</t>
  </si>
  <si>
    <t># of US adults claim to have at least one intimate or romantic relationship with an AI (million)</t>
  </si>
  <si>
    <t>% of US adults claim to have at least one intimate or romantic relationship with an AI</t>
  </si>
  <si>
    <t>https://vantagepointdallascounseling.com/research/artificial-romance-a-study-of-ai-and-human-relationships/</t>
  </si>
  <si>
    <t>Breakdown of AI Companionship patterns</t>
  </si>
  <si>
    <r>
      <rPr>
        <color rgb="FF1155CC"/>
        <u/>
      </rPr>
      <t>The Rise of AI Companions: How Human-Chatbot Relationships Influence Well-Being</t>
    </r>
  </si>
  <si>
    <t>% of Gen Z who would consider marrying an AI partner</t>
  </si>
  <si>
    <t>~80%</t>
  </si>
  <si>
    <r>
      <rPr>
        <color rgb="FF1155CC"/>
        <u/>
      </rPr>
      <t>Majority of Gen Z would marry an AI, survey says | Mashable</t>
    </r>
  </si>
  <si>
    <t>% of US 9-12th Grade Students who use AI for mental health support</t>
  </si>
  <si>
    <r>
      <rPr>
        <color rgb="FF1155CC"/>
        <u/>
      </rPr>
      <t>cdt.org/wp-content/uploads/2025/10/CDT-2025-Hand-in-Hand-Polling-111225-accessible.pdf</t>
    </r>
  </si>
  <si>
    <t>% of US 9-12th Grade Students who use AI as a friend/companion</t>
  </si>
  <si>
    <r>
      <rPr>
        <color rgb="FF1155CC"/>
        <u/>
      </rPr>
      <t>cdt.org/wp-content/uploads/2025/10/CDT-2025-Hand-in-Hand-Polling-111225-accessible.pdf</t>
    </r>
  </si>
  <si>
    <t>% of US 9-12th Grade Students who use AI to escape from real life</t>
  </si>
  <si>
    <r>
      <rPr>
        <color rgb="FF1155CC"/>
        <u/>
      </rPr>
      <t>cdt.org/wp-content/uploads/2025/10/CDT-2025-Hand-in-Hand-Polling-111225-accessible.pdf</t>
    </r>
  </si>
  <si>
    <t>% of US 9-12th Grade Students who use AI to have a romantic relationship</t>
  </si>
  <si>
    <r>
      <rPr>
        <color rgb="FF1155CC"/>
        <u/>
      </rPr>
      <t>cdt.org/wp-content/uploads/2025/10/CDT-2025-Hand-in-Hand-Polling-111225-accessible.pdf</t>
    </r>
  </si>
  <si>
    <t>For polling data on indiviual takes-&gt;</t>
  </si>
  <si>
    <t>% of US adults who think they have little to no control over AI use in their lives</t>
  </si>
  <si>
    <r>
      <rPr>
        <color rgb="FF1155CC"/>
        <u/>
      </rPr>
      <t>AI in daily life: Views and experiences of US public and AI experts | Pew Research Center</t>
    </r>
  </si>
  <si>
    <t>% of US adults who think they have a lot of control over AI use in their lives</t>
  </si>
  <si>
    <r>
      <rPr>
        <color rgb="FF1155CC"/>
        <u/>
      </rPr>
      <t>AI in daily life: Views and experiences of US public and AI experts | Pew Research Center</t>
    </r>
  </si>
  <si>
    <t>% of US adults who think they have some control over AI use in their lives</t>
  </si>
  <si>
    <r>
      <rPr>
        <color rgb="FF1155CC"/>
        <u/>
      </rPr>
      <t>AI in daily life: Views and experiences of US public and AI experts | Pew Research Center</t>
    </r>
  </si>
  <si>
    <t>% of US adults who would livke more control over how AI is used in their lives</t>
  </si>
  <si>
    <r>
      <rPr>
        <color rgb="FF1155CC"/>
        <u/>
      </rPr>
      <t>AI in daily life: Views and experiences of US public and AI experts | Pew Research Center</t>
    </r>
  </si>
  <si>
    <t>Number and % of Adults (15 yo or older) using Chatgpt globally</t>
  </si>
  <si>
    <t>Year</t>
  </si>
  <si>
    <t>WAU (millions)</t>
  </si>
  <si>
    <t>% of World's Adult pop</t>
  </si>
  <si>
    <r>
      <rPr/>
      <t xml:space="preserve">World Pop( </t>
    </r>
    <r>
      <rPr>
        <color rgb="FF1155CC"/>
        <u/>
      </rPr>
      <t xml:space="preserve">Source </t>
    </r>
    <r>
      <rPr/>
      <t>)</t>
    </r>
  </si>
  <si>
    <r>
      <rPr/>
      <t>% of ppl that are adults (</t>
    </r>
    <r>
      <rPr>
        <color rgb="FF1155CC"/>
        <u/>
      </rPr>
      <t>Source</t>
    </r>
    <r>
      <rPr/>
      <t>)</t>
    </r>
  </si>
  <si>
    <t>#  of adults</t>
  </si>
  <si>
    <t>///</t>
  </si>
  <si>
    <t>% of Singles using AI to enhance their dating lives</t>
  </si>
  <si>
    <t>Match and The Kinsey Institute Unveil 14th Annual Singles in America Study - Jun 10, 2025</t>
  </si>
  <si>
    <t># of US adults claim to have at least one intimate or romantic relationship with an AI</t>
  </si>
  <si>
    <t>Number of US adults</t>
  </si>
  <si>
    <t>% of Us Adults Not Using AI in a relationship</t>
  </si>
  <si>
    <t>Political Data</t>
  </si>
  <si>
    <t>Lobbying Analysis Disclaimer: The lobbbying data from Big Tech and AI-related companies are the best estimation of AI related lobbying at the moment. This serves as just a proxy for overall AI-related lobbying net spend, since Big Tech et al support more than just AI lobbying. The data for Frontier AI labs is strictly AI focused however.</t>
  </si>
  <si>
    <t>Disclaimer Justification: https://www.opensecrets.org/news/2024/06/lobbying-on-ai-reaches-new-heights-in-2024/ : https://www.bing.com/search?pglt=417&amp;q=intel+lobbying+ai&amp;cvid=7bbafbf6fd644d77bbbb64361b5ac214&amp;gs_lcrp=EgRlZGdlKgYIABBFGDkyBggAEEUYOdIBCDMyNTNqMGoxqAIAsAIA&amp;FORM=ANNTA1&amp;PC=HCTS</t>
  </si>
  <si>
    <t>info icon next to lobbying charts: Includes only data since 2023 since data for the Frontier Labs starts at 2023. Also, AI-related lobbying spending is relatively insignificant pre-2023.</t>
  </si>
  <si>
    <t>total lobbying $ spent by AI firms</t>
  </si>
  <si>
    <t>See below</t>
  </si>
  <si>
    <t>Polling data on politicians take on AI</t>
  </si>
  <si>
    <t># of times deepfakes used to sway elections</t>
  </si>
  <si>
    <t>See Surfshark website for research</t>
  </si>
  <si>
    <t>% of AI agenda enacted into law</t>
  </si>
  <si>
    <t>Total value of politicians stake in AI firms</t>
  </si>
  <si>
    <t>Total $ value Data Center Coalition (Data Center trade association-incls Amazon,Google,Meta,Microsoft) spent on lobbying in 2025</t>
  </si>
  <si>
    <r>
      <rPr>
        <color rgb="FF1155CC"/>
        <u/>
      </rPr>
      <t>Data centers are fueling the lobbying industry, not just the growth of AI • OpenSecrets</t>
    </r>
  </si>
  <si>
    <t>Total $ value Dominion Energy has spent on lobbying in 2025</t>
  </si>
  <si>
    <t>OpenAI</t>
  </si>
  <si>
    <r>
      <rPr>
        <color rgb="FF1155CC"/>
        <u/>
      </rPr>
      <t>OpenAI Lobbyists • OpenSecrets</t>
    </r>
  </si>
  <si>
    <t>Date of Publication</t>
  </si>
  <si>
    <t>Total Spent</t>
  </si>
  <si>
    <t>Anthrophic</t>
  </si>
  <si>
    <r>
      <rPr>
        <color rgb="FF1155CC"/>
        <u/>
      </rPr>
      <t>Anthropic PBC Lobbying Profile • OpenSecrets</t>
    </r>
  </si>
  <si>
    <t>Cohere</t>
  </si>
  <si>
    <r>
      <rPr>
        <color rgb="FF1155CC"/>
        <u/>
      </rPr>
      <t>Cohere Inc Lobbying Profile • OpenSecrets</t>
    </r>
  </si>
  <si>
    <t>% of Americans who support: "Requiring AI programs to pass a government test before they can be put into use, which would evaluate whether they may violate regulations, make biased decisions, or have security vulnerabilities%"</t>
  </si>
  <si>
    <t>79, 84% of Republicans, 81% of Democrats</t>
  </si>
  <si>
    <r>
      <rPr>
        <color rgb="FF1155CC"/>
        <u/>
      </rPr>
      <t>Majorities of Republicans and Democrats Overwhelmingly Favor the Government Regulating Artificial Intelligence | Center for International and Security Studies at Maryland</t>
    </r>
  </si>
  <si>
    <t>% of Americans who support: "Prohibiting the use of deepfakes in political campaign advertisements, such as to depict an opponent saying something they did not, or to depict an event that did not occur"</t>
  </si>
  <si>
    <t>80%, Republicans 83%, Democrats 78%</t>
  </si>
  <si>
    <r>
      <rPr>
        <color rgb="FF1155CC"/>
        <u/>
      </rPr>
      <t>Majorities of Republicans and Democrats Overwhelmingly Favor the Government Regulating Artificial Intelligence | Center for International and Security Studies at Maryland</t>
    </r>
  </si>
  <si>
    <t>% of Americans in favor of: "the US working to create a treaty banning the development of lethal autonomous weapons, and creating an international agency to enforce that prohibition"</t>
  </si>
  <si>
    <t>74%, Republicans 75%, Democrats 77%</t>
  </si>
  <si>
    <r>
      <rPr>
        <color rgb="FF1155CC"/>
        <u/>
      </rPr>
      <t>Majorities of Republicans and Democrats Overwhelmingly Favor the Government Regulating Artificial Intelligence | Center for International and Security Studies at Maryland</t>
    </r>
  </si>
  <si>
    <t>Total Tax Benefits for Data Centers</t>
  </si>
  <si>
    <r>
      <rPr>
        <color rgb="FF1155CC"/>
        <u/>
      </rPr>
      <t>Energy Tax Benefits for Data Centers: In Brief | Congress.gov | Library of Congress</t>
    </r>
  </si>
  <si>
    <t>Meta</t>
  </si>
  <si>
    <r>
      <rPr>
        <color rgb="FF1155CC"/>
        <u/>
      </rPr>
      <t>Meta Lobbying Profile • OpenSecrets</t>
    </r>
  </si>
  <si>
    <t>Amazon</t>
  </si>
  <si>
    <r>
      <rPr>
        <color rgb="FF1155CC"/>
        <u/>
      </rPr>
      <t>Amazon.com Lobbying Profile • OpenSecrets</t>
    </r>
  </si>
  <si>
    <t>Alphabet</t>
  </si>
  <si>
    <r>
      <rPr>
        <color rgb="FF1155CC"/>
        <u/>
      </rPr>
      <t>Alphabet Inc Lobbying Profile • OpenSecrets</t>
    </r>
  </si>
  <si>
    <t>Microsoft</t>
  </si>
  <si>
    <r>
      <rPr>
        <color rgb="FF1155CC"/>
        <u/>
      </rPr>
      <t>Microsoft Corp Lobbying Profile • OpenSecrets</t>
    </r>
  </si>
  <si>
    <t>Oracle</t>
  </si>
  <si>
    <r>
      <rPr>
        <color rgb="FF1155CC"/>
        <u/>
      </rPr>
      <t>Oracle Corp Lobbying Profile • OpenSecrets</t>
    </r>
  </si>
  <si>
    <t>Nvidia</t>
  </si>
  <si>
    <r>
      <rPr>
        <color rgb="FF1155CC"/>
        <u/>
      </rPr>
      <t>NVIDIA Corp Lobbying Profile • OpenSecrets</t>
    </r>
  </si>
  <si>
    <t>Apple</t>
  </si>
  <si>
    <r>
      <rPr>
        <color rgb="FF1155CC"/>
        <u/>
      </rPr>
      <t>Apple Inc Lobbying Profile • OpenSecrets</t>
    </r>
  </si>
  <si>
    <t>IBM</t>
  </si>
  <si>
    <r>
      <rPr>
        <color rgb="FF1155CC"/>
        <u/>
      </rPr>
      <t>IBM Corp Lobbying Profile • OpenSecrets</t>
    </r>
  </si>
  <si>
    <t>Qualcomm</t>
  </si>
  <si>
    <r>
      <rPr>
        <color rgb="FF1155CC"/>
        <u/>
      </rPr>
      <t>Qualcomm Inc Lobbying Profile • OpenSecrets</t>
    </r>
  </si>
  <si>
    <t>Dell Systems</t>
  </si>
  <si>
    <r>
      <rPr>
        <color rgb="FF1155CC"/>
        <u/>
      </rPr>
      <t>Dell Technologies Lobbying Profile • OpenSecrets</t>
    </r>
  </si>
  <si>
    <t>Intel</t>
  </si>
  <si>
    <r>
      <rPr>
        <color rgb="FF1155CC"/>
        <u/>
      </rPr>
      <t>Intel Corp Lobbying Profile • OpenSecrets</t>
    </r>
  </si>
  <si>
    <t>/// Mega PACs/ Industry Groups</t>
  </si>
  <si>
    <t>Frontier Model Forum</t>
  </si>
  <si>
    <t>Current members are Amazon, Anthrophic, Meta, Google, Microsoft, and OpenAI.</t>
  </si>
  <si>
    <t>AI4good</t>
  </si>
  <si>
    <t>Industry,expert, and community group for AI enthuasiats and market particpants</t>
  </si>
  <si>
    <r>
      <rPr>
        <color rgb="FF1155CC"/>
        <u/>
      </rPr>
      <t>Home - AI for Good Foundation - AI for social impact</t>
    </r>
  </si>
  <si>
    <t>Partnership on AI</t>
  </si>
  <si>
    <t>Group of academic, industry, and media organized to maximize societal benefits of AI.</t>
  </si>
  <si>
    <r>
      <rPr>
        <color rgb="FF1155CC"/>
        <u/>
      </rPr>
      <t>Partnership on AI - Home - Partnership on AI</t>
    </r>
  </si>
  <si>
    <t>AI Safety Action Fund</t>
  </si>
  <si>
    <t>From their website: "a nonpartisan advocacy organization dedicated to advancing public policies that maintain U.S. leadership in AI and protect against AI-related national security threats."</t>
  </si>
  <si>
    <r>
      <rPr>
        <color rgb="FF1155CC"/>
        <u/>
      </rPr>
      <t>Center for AI Safety Action Fund (CAIS AF)</t>
    </r>
  </si>
  <si>
    <t>Leading for the Future</t>
  </si>
  <si>
    <t>$100M committed to a pro-AI midterm strategy backed by Big Tech and Frontier Labs.</t>
  </si>
  <si>
    <r>
      <rPr>
        <color rgb="FF1155CC"/>
        <u/>
      </rPr>
      <t>White House irked by Leading the Future, a new $100M pro-AI super PAC</t>
    </r>
  </si>
  <si>
    <t>Capability</t>
  </si>
  <si>
    <t>OECD Capability Index Score</t>
  </si>
  <si>
    <t>https://www.oecd.org/en/publications/introducing-the-oecd-ai-capability-indicators_be745f04-en/full-report/component-4.html#title-86d73ad29a</t>
  </si>
  <si>
    <t>Domain</t>
  </si>
  <si>
    <t>Level
(from 1 to 5)</t>
  </si>
  <si>
    <r>
      <t>Capability description</t>
    </r>
    <r>
      <rPr>
        <rFont val="inherit"/>
        <b/>
        <color rgb="FF1155CC"/>
        <sz val="11.0"/>
        <u/>
      </rPr>
      <t>1</t>
    </r>
  </si>
  <si>
    <t>Language</t>
  </si>
  <si>
    <t>AI systems at this level reliably understand and generate semantic meaning using multi-corpus knowledge. They show advanced logical and social reasoning ability and can process text, speech and images. They support a diverse range of languages and adapt through iterative learning techniques.</t>
  </si>
  <si>
    <t>Social interaction</t>
  </si>
  <si>
    <t>AI systems combine simple movements to express emotions and learn from interactions for future encounters. They recall events and adapt slightly based on experience, recognising basic signals and detecting emotions through tone and context. They also perceive individual distinctions and apply past experiences to recurring challenges.</t>
  </si>
  <si>
    <t>Problem solving</t>
  </si>
  <si>
    <t>AI systems integrate qualitative reasoning – such as spatial or temporal relationships – with quantitative analysis to address complex professional problems framed using conventional domain abstractions. They handle multiple qualitative states and transitions, predicting how systems may evolve or change over time.</t>
  </si>
  <si>
    <t>Creativity</t>
  </si>
  <si>
    <t>AI systems generate valuable outputs that deviate significantly from their training data and challenge traditional boundaries. They generalise skills to new tasks and integrate ideas across domains.</t>
  </si>
  <si>
    <t>Metacognition and critical thinking</t>
  </si>
  <si>
    <t>AI systems monitor their own understanding and adjust their approaches accordingly. They work with familiar information that may contain ambiguities, requiring measured confidence and informed guesses. They can handle partially incomplete information by discerning what they know and what they do not.</t>
  </si>
  <si>
    <t>Knowledge, learning and memory</t>
  </si>
  <si>
    <t>AI systems learn the semantics of information through distributed representations and generalise to novel situations. They can process massive datasets for context-sensitive understanding but lack real-time learning capabilities.</t>
  </si>
  <si>
    <t>Vision</t>
  </si>
  <si>
    <t>AI systems can handle some variation in target object appearance and lighting, performs multiple subtasks, and can cope with known variations in data and situations.</t>
  </si>
  <si>
    <t>Manipulation</t>
  </si>
  <si>
    <t>AI systems handle a variety of object shapes and moderately pliable materials, operating in controlled environments with low to moderate clutter. They navigate around small obstacles in open spaces, accommodate objects placed randomly within a defined region, and perform tasks without time constraints.</t>
  </si>
  <si>
    <t>Robotic intelligence</t>
  </si>
  <si>
    <t>Robotic systems operate in partially known, mostly static, semi-structured environments with some well-defined variability. They handle short-horizon, simple multi-function tasks that, while well defined, involve inherent uncertainty. They can engage in limited human interaction, such as minimal interfaces, and manage some unexpected outcomes within familiar task settings. They deal with little to no ethical issues.</t>
  </si>
  <si>
    <r>
      <rPr>
        <color rgb="FF1155CC"/>
        <u/>
      </rPr>
      <t>Artificial Intelligence Index Report 2025</t>
    </r>
  </si>
  <si>
    <t>RISK Index</t>
  </si>
  <si>
    <t>Figure 3 reports the growth of overall weekly active users (WAU) on consumer plans over time. ChatGPT had more than 100 million logged-in WAU after one year, and almost 350 million after two years. By the end of July 2025, ChatGPT had more than 700 million total WAU, nearly 10% of the world’s adult population.20</t>
  </si>
  <si>
    <r>
      <rPr/>
      <t xml:space="preserve">World Pop( </t>
    </r>
    <r>
      <rPr>
        <color rgb="FF1155CC"/>
        <u/>
      </rPr>
      <t xml:space="preserve">Source </t>
    </r>
    <r>
      <rPr/>
      <t>)</t>
    </r>
  </si>
  <si>
    <r>
      <rPr/>
      <t>% of ppl that are adults (</t>
    </r>
    <r>
      <rPr>
        <color rgb="FF1155CC"/>
        <u/>
      </rPr>
      <t>Source</t>
    </r>
    <r>
      <rPr/>
      <t>)</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</si>
</sst>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quot;$&quot;#,##0"/>
    <numFmt numFmtId="166" formatCode="mmmm yyyy"/>
    <numFmt numFmtId="167" formatCode="mmm d, yyyy"/>
    <numFmt numFmtId="168" formatCode="d mmmm yyyy"/>
  </numFmts>
  <fonts count="22">
    <font>
      <sz val="10.0"/>
      <color rgb="FF000000"/>
      <name val="Arial"/>
      <scheme val="minor"/>
    </font>
    <font>
      <sz val="36.0"/>
      <color theme="1"/>
      <name val="Arial"/>
      <scheme val="minor"/>
    </font>
    <font>
      <color theme="1"/>
      <name val="Arial"/>
      <scheme val="minor"/>
    </font>
    <font>
      <sz val="18.0"/>
      <color theme="1"/>
      <name val="Arial"/>
      <scheme val="minor"/>
    </font>
    <font>
      <u/>
      <color rgb="FF000000"/>
      <name val="Roboto !important"/>
    </font>
    <font>
      <color rgb="FF000000"/>
      <name val="Roboto"/>
    </font>
    <font>
      <sz val="11.0"/>
      <color rgb="FF000000"/>
      <name val="Arial"/>
    </font>
    <font>
      <u/>
      <color rgb="FF0000FF"/>
    </font>
    <font>
      <sz val="9.0"/>
      <color rgb="FF586179"/>
      <name val="&quot;Noto Sans&quot;"/>
    </font>
    <font>
      <sz val="11.0"/>
      <color rgb="FF100E1F"/>
      <name val="Roboto"/>
    </font>
    <font>
      <u/>
      <color rgb="FF0000FF"/>
    </font>
    <font>
      <color theme="1"/>
      <name val="Arial"/>
    </font>
    <font>
      <b/>
      <u/>
      <color rgb="FF000000"/>
      <name val="Roboto !important"/>
    </font>
    <font>
      <color rgb="FFFFFFFF"/>
      <name val="Arial"/>
      <scheme val="minor"/>
    </font>
    <font>
      <b/>
      <i/>
      <color theme="1"/>
      <name val="&quot;Arial&quot;"/>
    </font>
    <font>
      <b/>
      <color theme="1"/>
      <name val="&quot;Noto Sans&quot;"/>
    </font>
    <font>
      <color rgb="FF000000"/>
      <name val="Roboto !important"/>
    </font>
    <font>
      <sz val="11.0"/>
      <color rgb="FF000000"/>
      <name val="Arial"/>
      <scheme val="minor"/>
    </font>
    <font>
      <color rgb="FF000000"/>
      <name val="Inter"/>
    </font>
    <font>
      <b/>
      <sz val="11.0"/>
      <color rgb="FF000000"/>
      <name val="Inherit"/>
    </font>
    <font>
      <b/>
      <u/>
      <sz val="11.0"/>
      <color rgb="FF0000FF"/>
      <name val="Inherit"/>
    </font>
    <font>
      <sz val="11.0"/>
      <color rgb="FF000000"/>
      <name val="Inherit"/>
    </font>
  </fonts>
  <fills count="18">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
      <patternFill patternType="solid">
        <fgColor rgb="FF145F82"/>
        <bgColor rgb="FF145F82"/>
      </patternFill>
    </fill>
    <fill>
      <patternFill patternType="solid">
        <fgColor rgb="FF4A86E8"/>
        <bgColor rgb="FF4A86E8"/>
      </patternFill>
    </fill>
    <fill>
      <patternFill patternType="solid">
        <fgColor rgb="FFD5A6BD"/>
        <bgColor rgb="FFD5A6BD"/>
      </patternFill>
    </fill>
    <fill>
      <patternFill patternType="solid">
        <fgColor rgb="FFEAD1DC"/>
        <bgColor rgb="FFEAD1DC"/>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9FC5E8"/>
        <bgColor rgb="FF9FC5E8"/>
      </patternFill>
    </fill>
    <fill>
      <patternFill patternType="solid">
        <fgColor rgb="FF00FF00"/>
        <bgColor rgb="FF00FF00"/>
      </patternFill>
    </fill>
    <fill>
      <patternFill patternType="solid">
        <fgColor rgb="FF6AA84F"/>
        <bgColor rgb="FF6AA84F"/>
      </patternFill>
    </fill>
    <fill>
      <patternFill patternType="solid">
        <fgColor rgb="FFB6D7A8"/>
        <bgColor rgb="FFB6D7A8"/>
      </patternFill>
    </fill>
  </fills>
  <borders count="3">
    <border/>
    <border>
      <left style="thin">
        <color rgb="FFE7E7E7"/>
      </left>
      <right style="thin">
        <color rgb="FFE7E7E7"/>
      </right>
      <top style="thin">
        <color rgb="FFE7E7E7"/>
      </top>
      <bottom style="thin">
        <color rgb="FFE7E7E7"/>
      </bottom>
    </border>
    <border>
      <left style="thin">
        <color rgb="FFDEE3E9"/>
      </left>
      <right style="thin">
        <color rgb="FFDEE3E9"/>
      </right>
      <top style="thin">
        <color rgb="FFDEE3E9"/>
      </top>
      <bottom style="thin">
        <color rgb="FFDEE3E9"/>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3" fontId="2" numFmtId="0" xfId="0" applyFill="1" applyFont="1"/>
    <xf borderId="0" fillId="3" fontId="1" numFmtId="0" xfId="0" applyAlignment="1" applyFont="1">
      <alignment readingOrder="0"/>
    </xf>
    <xf borderId="0" fillId="3" fontId="2" numFmtId="0" xfId="0" applyAlignment="1" applyFont="1">
      <alignment readingOrder="0"/>
    </xf>
    <xf borderId="0" fillId="4" fontId="3" numFmtId="0" xfId="0" applyAlignment="1" applyFill="1" applyFont="1">
      <alignment readingOrder="0"/>
    </xf>
    <xf borderId="0" fillId="4" fontId="2" numFmtId="0" xfId="0" applyAlignment="1" applyFont="1">
      <alignment readingOrder="0"/>
    </xf>
    <xf borderId="0" fillId="0" fontId="2" numFmtId="0" xfId="0" applyAlignment="1" applyFont="1">
      <alignment readingOrder="0"/>
    </xf>
    <xf borderId="0" fillId="0" fontId="4" numFmtId="0" xfId="0" applyAlignment="1" applyFont="1">
      <alignment horizontal="left" readingOrder="0" shrinkToFit="0" wrapText="1"/>
    </xf>
    <xf borderId="0" fillId="0" fontId="5"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2" numFmtId="9" xfId="0" applyAlignment="1" applyFont="1" applyNumberFormat="1">
      <alignment readingOrder="0"/>
    </xf>
    <xf borderId="0" fillId="5" fontId="8" numFmtId="164" xfId="0" applyAlignment="1" applyFill="1" applyFont="1" applyNumberFormat="1">
      <alignment readingOrder="0"/>
    </xf>
    <xf borderId="1" fillId="5" fontId="9" numFmtId="0" xfId="0" applyAlignment="1" applyBorder="1" applyFont="1">
      <alignment readingOrder="0"/>
    </xf>
    <xf borderId="1" fillId="5" fontId="9" numFmtId="3" xfId="0" applyAlignment="1" applyBorder="1" applyFont="1" applyNumberFormat="1">
      <alignment readingOrder="0"/>
    </xf>
    <xf borderId="0" fillId="0" fontId="2" numFmtId="0" xfId="0" applyFont="1"/>
    <xf borderId="0" fillId="0" fontId="10" numFmtId="0" xfId="0" applyAlignment="1" applyFont="1">
      <alignment readingOrder="0"/>
    </xf>
    <xf borderId="0" fillId="6" fontId="2" numFmtId="0" xfId="0" applyAlignment="1" applyFill="1" applyFont="1">
      <alignment readingOrder="0"/>
    </xf>
    <xf borderId="0" fillId="6" fontId="2" numFmtId="0" xfId="0" applyFont="1"/>
    <xf borderId="0" fillId="0" fontId="2" numFmtId="3" xfId="0" applyAlignment="1" applyFont="1" applyNumberFormat="1">
      <alignment readingOrder="0"/>
    </xf>
    <xf borderId="0" fillId="0" fontId="2" numFmtId="165" xfId="0" applyAlignment="1" applyFont="1" applyNumberFormat="1">
      <alignment readingOrder="0"/>
    </xf>
    <xf borderId="0" fillId="0" fontId="11" numFmtId="0" xfId="0" applyAlignment="1" applyFont="1">
      <alignment vertical="bottom"/>
    </xf>
    <xf borderId="0" fillId="0" fontId="11" numFmtId="0" xfId="0" applyAlignment="1" applyFont="1">
      <alignment readingOrder="0" vertical="bottom"/>
    </xf>
    <xf borderId="0" fillId="0" fontId="2" numFmtId="166" xfId="0" applyAlignment="1" applyFont="1" applyNumberFormat="1">
      <alignment readingOrder="0"/>
    </xf>
    <xf borderId="0" fillId="0" fontId="3" numFmtId="0" xfId="0" applyAlignment="1" applyFont="1">
      <alignment readingOrder="0"/>
    </xf>
    <xf borderId="0" fillId="0" fontId="12" numFmtId="0" xfId="0" applyAlignment="1" applyFont="1">
      <alignment horizontal="left" readingOrder="0" shrinkToFit="0" wrapText="1"/>
    </xf>
    <xf borderId="0" fillId="7" fontId="2" numFmtId="0" xfId="0" applyAlignment="1" applyFill="1" applyFont="1">
      <alignment readingOrder="0" vertical="top"/>
    </xf>
    <xf borderId="0" fillId="7" fontId="13" numFmtId="0" xfId="0" applyAlignment="1" applyFont="1">
      <alignment readingOrder="0" vertical="top"/>
    </xf>
    <xf borderId="0" fillId="0" fontId="2" numFmtId="0" xfId="0" applyAlignment="1" applyFont="1">
      <alignment readingOrder="0" vertical="top"/>
    </xf>
    <xf borderId="0" fillId="0" fontId="14" numFmtId="0" xfId="0" applyAlignment="1" applyFont="1">
      <alignment horizontal="center" readingOrder="0" vertical="top"/>
    </xf>
    <xf borderId="0" fillId="0" fontId="2" numFmtId="0" xfId="0" applyAlignment="1" applyFont="1">
      <alignment horizontal="center" readingOrder="0" vertical="top"/>
    </xf>
    <xf borderId="0" fillId="8" fontId="1" numFmtId="0" xfId="0" applyAlignment="1" applyFill="1" applyFont="1">
      <alignment readingOrder="0"/>
    </xf>
    <xf borderId="0" fillId="8" fontId="2" numFmtId="0" xfId="0" applyFont="1"/>
    <xf borderId="0" fillId="9" fontId="2" numFmtId="0" xfId="0" applyFill="1" applyFont="1"/>
    <xf borderId="0" fillId="9" fontId="1" numFmtId="0" xfId="0" applyAlignment="1" applyFont="1">
      <alignment readingOrder="0"/>
    </xf>
    <xf borderId="0" fillId="9" fontId="2" numFmtId="0" xfId="0" applyAlignment="1" applyFont="1">
      <alignment readingOrder="0"/>
    </xf>
    <xf borderId="0" fillId="10" fontId="3" numFmtId="0" xfId="0" applyAlignment="1" applyFill="1" applyFont="1">
      <alignment readingOrder="0"/>
    </xf>
    <xf borderId="0" fillId="10" fontId="2" numFmtId="0" xfId="0" applyAlignment="1" applyFont="1">
      <alignment readingOrder="0"/>
    </xf>
    <xf borderId="0" fillId="0" fontId="2" numFmtId="164" xfId="0" applyAlignment="1" applyFont="1" applyNumberFormat="1">
      <alignment readingOrder="0"/>
    </xf>
    <xf borderId="0" fillId="0" fontId="2" numFmtId="10" xfId="0" applyAlignment="1" applyFont="1" applyNumberFormat="1">
      <alignment readingOrder="0"/>
    </xf>
    <xf borderId="0" fillId="0" fontId="11" numFmtId="0" xfId="0" applyAlignment="1" applyFont="1">
      <alignment vertical="bottom"/>
    </xf>
    <xf borderId="0" fillId="0" fontId="11" numFmtId="9" xfId="0" applyAlignment="1" applyFont="1" applyNumberFormat="1">
      <alignment horizontal="right" vertical="bottom"/>
    </xf>
    <xf borderId="0" fillId="0" fontId="15" numFmtId="3" xfId="0" applyAlignment="1" applyFont="1" applyNumberFormat="1">
      <alignment readingOrder="0"/>
    </xf>
    <xf borderId="0" fillId="0" fontId="2" numFmtId="167" xfId="0" applyAlignment="1" applyFont="1" applyNumberFormat="1">
      <alignment readingOrder="0"/>
    </xf>
    <xf borderId="0" fillId="0" fontId="2" numFmtId="10" xfId="0" applyFont="1" applyNumberFormat="1"/>
    <xf borderId="0" fillId="0" fontId="16" numFmtId="0" xfId="0" applyAlignment="1" applyFont="1">
      <alignment horizontal="left" readingOrder="0" shrinkToFit="0" wrapText="1"/>
    </xf>
    <xf borderId="0" fillId="11" fontId="1" numFmtId="0" xfId="0" applyAlignment="1" applyFill="1" applyFont="1">
      <alignment readingOrder="0"/>
    </xf>
    <xf borderId="0" fillId="11" fontId="2" numFmtId="0" xfId="0" applyFont="1"/>
    <xf borderId="0" fillId="12" fontId="2" numFmtId="0" xfId="0" applyFill="1" applyFont="1"/>
    <xf borderId="0" fillId="12" fontId="1" numFmtId="0" xfId="0" applyAlignment="1" applyFont="1">
      <alignment readingOrder="0"/>
    </xf>
    <xf borderId="0" fillId="12" fontId="2" numFmtId="0" xfId="0" applyAlignment="1" applyFont="1">
      <alignment readingOrder="0"/>
    </xf>
    <xf borderId="0" fillId="0" fontId="2" numFmtId="0" xfId="0" applyAlignment="1" applyFont="1">
      <alignment readingOrder="0"/>
    </xf>
    <xf borderId="0" fillId="13" fontId="3" numFmtId="0" xfId="0" applyAlignment="1" applyFill="1" applyFont="1">
      <alignment readingOrder="0"/>
    </xf>
    <xf borderId="0" fillId="13" fontId="2" numFmtId="0" xfId="0" applyAlignment="1" applyFont="1">
      <alignment readingOrder="0"/>
    </xf>
    <xf borderId="1" fillId="5" fontId="9" numFmtId="165" xfId="0" applyAlignment="1" applyBorder="1" applyFont="1" applyNumberFormat="1">
      <alignment readingOrder="0"/>
    </xf>
    <xf borderId="0" fillId="0" fontId="17" numFmtId="164" xfId="0" applyAlignment="1" applyFont="1" applyNumberFormat="1">
      <alignment readingOrder="0"/>
    </xf>
    <xf borderId="0" fillId="5" fontId="18" numFmtId="165" xfId="0" applyAlignment="1" applyFont="1" applyNumberFormat="1">
      <alignment horizontal="right" readingOrder="0" shrinkToFit="0" wrapText="0"/>
    </xf>
    <xf borderId="0" fillId="14" fontId="3" numFmtId="0" xfId="0" applyAlignment="1" applyFill="1" applyFont="1">
      <alignment readingOrder="0"/>
    </xf>
    <xf borderId="0" fillId="14" fontId="2" numFmtId="0" xfId="0" applyFont="1"/>
    <xf borderId="0" fillId="15" fontId="1" numFmtId="0" xfId="0" applyAlignment="1" applyFill="1" applyFont="1">
      <alignment readingOrder="0"/>
    </xf>
    <xf borderId="0" fillId="15" fontId="2" numFmtId="0" xfId="0" applyFont="1"/>
    <xf borderId="0" fillId="16" fontId="2" numFmtId="0" xfId="0" applyFill="1" applyFont="1"/>
    <xf borderId="0" fillId="16" fontId="1" numFmtId="0" xfId="0" applyAlignment="1" applyFont="1">
      <alignment readingOrder="0"/>
    </xf>
    <xf borderId="0" fillId="16" fontId="2" numFmtId="0" xfId="0" applyAlignment="1" applyFont="1">
      <alignment readingOrder="0"/>
    </xf>
    <xf borderId="0" fillId="0" fontId="2" numFmtId="168" xfId="0" applyAlignment="1" applyFont="1" applyNumberFormat="1">
      <alignment readingOrder="0"/>
    </xf>
    <xf borderId="0" fillId="17" fontId="3" numFmtId="0" xfId="0" applyAlignment="1" applyFill="1" applyFont="1">
      <alignment readingOrder="0"/>
    </xf>
    <xf borderId="0" fillId="17" fontId="2" numFmtId="0" xfId="0" applyAlignment="1" applyFont="1">
      <alignment readingOrder="0"/>
    </xf>
    <xf borderId="2" fillId="0" fontId="19" numFmtId="0" xfId="0" applyAlignment="1" applyBorder="1" applyFont="1">
      <alignment horizontal="center" readingOrder="0"/>
    </xf>
    <xf borderId="2" fillId="0" fontId="20" numFmtId="0" xfId="0" applyAlignment="1" applyBorder="1" applyFont="1">
      <alignment horizontal="center" readingOrder="0"/>
    </xf>
    <xf borderId="2" fillId="0" fontId="21" numFmtId="0" xfId="0" applyAlignment="1" applyBorder="1" applyFont="1">
      <alignment readingOrder="0"/>
    </xf>
    <xf borderId="0" fillId="17" fontId="2"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chemeClr val="accent1"/>
            </a:solidFill>
            <a:ln cmpd="sng">
              <a:solidFill>
                <a:srgbClr val="000000"/>
              </a:solidFill>
            </a:ln>
          </c:spPr>
          <c:cat>
            <c:strRef>
              <c:f>'Economic Data (To Do GDP estima'!$G$72</c:f>
            </c:strRef>
          </c:cat>
          <c:val>
            <c:numRef>
              <c:f>'Economic Data (To Do GDP estima'!$B$56:$B$67</c:f>
              <c:numCache/>
            </c:numRef>
          </c:val>
        </c:ser>
        <c:ser>
          <c:idx val="1"/>
          <c:order val="1"/>
          <c:spPr>
            <a:solidFill>
              <a:schemeClr val="accent2"/>
            </a:solidFill>
            <a:ln cmpd="sng">
              <a:solidFill>
                <a:srgbClr val="000000"/>
              </a:solidFill>
            </a:ln>
          </c:spPr>
          <c:cat>
            <c:strRef>
              <c:f>'Economic Data (To Do GDP estima'!$G$72</c:f>
            </c:strRef>
          </c:cat>
          <c:val>
            <c:numRef>
              <c:f>'Economic Data (To Do GDP estima'!$C$69:$C$70</c:f>
              <c:numCache/>
            </c:numRef>
          </c:val>
        </c:ser>
        <c:ser>
          <c:idx val="2"/>
          <c:order val="2"/>
          <c:spPr>
            <a:solidFill>
              <a:schemeClr val="accent3"/>
            </a:solidFill>
            <a:ln cmpd="sng">
              <a:solidFill>
                <a:srgbClr val="000000"/>
              </a:solidFill>
            </a:ln>
          </c:spPr>
          <c:cat>
            <c:strRef>
              <c:f>'Economic Data (To Do GDP estima'!$G$72</c:f>
            </c:strRef>
          </c:cat>
          <c:val>
            <c:numRef>
              <c:f>'Economic Data (To Do GDP estima'!$F$56:$F$67</c:f>
              <c:numCache/>
            </c:numRef>
          </c:val>
        </c:ser>
        <c:ser>
          <c:idx val="3"/>
          <c:order val="3"/>
          <c:cat>
            <c:strRef>
              <c:f>'Economic Data (To Do GDP estima'!$G$72</c:f>
            </c:strRef>
          </c:cat>
          <c:val>
            <c:numRef>
              <c:f>'Economic Data (To Do GDP estima'!$B$69:$B$70</c:f>
              <c:numCache/>
            </c:numRef>
          </c:val>
        </c:ser>
        <c:ser>
          <c:idx val="4"/>
          <c:order val="4"/>
          <c:cat>
            <c:strRef>
              <c:f>'Economic Data (To Do GDP estima'!$G$72</c:f>
            </c:strRef>
          </c:cat>
          <c:val>
            <c:numRef>
              <c:f>'Economic Data (To Do GDP estima'!$C$69:$C$70</c:f>
              <c:numCache/>
            </c:numRef>
          </c:val>
        </c:ser>
        <c:overlap val="100"/>
        <c:axId val="755771447"/>
        <c:axId val="2117626860"/>
      </c:barChart>
      <c:catAx>
        <c:axId val="755771447"/>
        <c:scaling>
          <c:orientation val="maxMin"/>
        </c:scaling>
        <c:delete val="0"/>
        <c:axPos val="l"/>
        <c:title>
          <c:tx>
            <c:rich>
              <a:bodyPr/>
              <a:lstStyle/>
              <a:p>
                <a:pPr lvl="0">
                  <a:defRPr b="0">
                    <a:solidFill>
                      <a:srgbClr val="000000"/>
                    </a:solidFill>
                    <a:latin typeface="Garamond"/>
                  </a:defRPr>
                </a:pPr>
                <a:r>
                  <a:rPr b="0">
                    <a:solidFill>
                      <a:srgbClr val="000000"/>
                    </a:solidFill>
                    <a:latin typeface="Garamond"/>
                  </a:rPr>
                  <a:t/>
                </a:r>
              </a:p>
            </c:rich>
          </c:tx>
          <c:overlay val="0"/>
        </c:title>
        <c:numFmt formatCode="General" sourceLinked="1"/>
        <c:majorTickMark val="none"/>
        <c:minorTickMark val="none"/>
        <c:spPr/>
        <c:txPr>
          <a:bodyPr/>
          <a:lstStyle/>
          <a:p>
            <a:pPr lvl="0">
              <a:defRPr b="0">
                <a:solidFill>
                  <a:srgbClr val="000000"/>
                </a:solidFill>
                <a:latin typeface="Garamond"/>
              </a:defRPr>
            </a:pPr>
          </a:p>
        </c:txPr>
        <c:crossAx val="2117626860"/>
      </c:catAx>
      <c:valAx>
        <c:axId val="2117626860"/>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aramond"/>
                  </a:defRPr>
                </a:pPr>
                <a:r>
                  <a:rPr b="0">
                    <a:solidFill>
                      <a:srgbClr val="000000"/>
                    </a:solidFill>
                    <a:latin typeface="Garamond"/>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755771447"/>
        <c:crosses val="max"/>
      </c:valAx>
    </c:plotArea>
    <c:legend>
      <c:legendPos val="r"/>
      <c:overlay val="0"/>
      <c:txPr>
        <a:bodyPr/>
        <a:lstStyle/>
        <a:p>
          <a:pPr lvl="0">
            <a:defRPr b="0">
              <a:solidFill>
                <a:srgbClr val="1A1A1A"/>
              </a:solidFill>
              <a:latin typeface="Garamond"/>
            </a:defRPr>
          </a:pPr>
        </a:p>
      </c:txPr>
    </c:legend>
    <c:plotVisOnly val="1"/>
  </c:chart>
  <c:spPr>
    <a:solidFill>
      <a:srgbClr val="EFEFE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Garamond"/>
              </a:defRPr>
            </a:pPr>
            <a:r>
              <a:rPr b="0">
                <a:solidFill>
                  <a:srgbClr val="000000"/>
                </a:solidFill>
                <a:latin typeface="Garamond"/>
              </a:rPr>
              <a:t>Projected Investment Breakdown by Industry</a:t>
            </a:r>
          </a:p>
        </c:rich>
      </c:tx>
      <c:overlay val="0"/>
    </c:title>
    <c:plotArea>
      <c:layout/>
      <c:pieChart>
        <c:varyColors val="1"/>
        <c:ser>
          <c:idx val="0"/>
          <c:order val="0"/>
          <c:tx>
            <c:strRef>
              <c:f>'Economic Data (To Do GDP estima'!$F$42</c:f>
            </c:strRef>
          </c:tx>
          <c:dPt>
            <c:idx val="0"/>
            <c:spPr>
              <a:solidFill>
                <a:srgbClr val="FFE599"/>
              </a:solidFill>
            </c:spPr>
          </c:dPt>
          <c:dPt>
            <c:idx val="1"/>
            <c:spPr>
              <a:solidFill>
                <a:srgbClr val="EA9999"/>
              </a:solidFill>
            </c:spPr>
          </c:dPt>
          <c:dPt>
            <c:idx val="2"/>
            <c:spPr>
              <a:solidFill>
                <a:srgbClr val="FBBC04"/>
              </a:solidFill>
            </c:spPr>
          </c:dPt>
          <c:dLbls>
            <c:showLegendKey val="0"/>
            <c:showVal val="1"/>
            <c:showCatName val="0"/>
            <c:showSerName val="0"/>
            <c:showPercent val="0"/>
            <c:showBubbleSize val="0"/>
            <c:showLeaderLines val="1"/>
          </c:dLbls>
          <c:cat>
            <c:strRef>
              <c:f>'Economic Data (To Do GDP estima'!$E$43:$E$45</c:f>
            </c:strRef>
          </c:cat>
          <c:val>
            <c:numRef>
              <c:f>'Economic Data (To Do GDP estima'!$F$43:$F$45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Garamond"/>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'Social Data '!$B$17:$B$20</c:f>
            </c:strRef>
          </c:cat>
          <c:val>
            <c:numRef>
              <c:f>'Social Data '!$C$17:$C$20</c:f>
              <c:numCache/>
            </c:numRef>
          </c:val>
        </c:ser>
        <c:axId val="1065167537"/>
        <c:axId val="302083392"/>
      </c:barChart>
      <c:catAx>
        <c:axId val="1065167537"/>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spPr/>
        <c:txPr>
          <a:bodyPr/>
          <a:lstStyle/>
          <a:p>
            <a:pPr lvl="0">
              <a:defRPr b="0">
                <a:solidFill>
                  <a:srgbClr val="000000"/>
                </a:solidFill>
                <a:latin typeface="Tahoma"/>
              </a:defRPr>
            </a:pPr>
          </a:p>
        </c:txPr>
        <c:crossAx val="302083392"/>
      </c:catAx>
      <c:valAx>
        <c:axId val="302083392"/>
        <c:scaling>
          <c:orientation val="minMax"/>
        </c:scaling>
        <c:delete val="0"/>
        <c:axPos val="l"/>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Tahoma"/>
              </a:defRPr>
            </a:pPr>
          </a:p>
        </c:txPr>
        <c:crossAx val="1065167537"/>
      </c:valAx>
    </c:plotArea>
    <c:legend>
      <c:legendPos val="r"/>
      <c:overlay val="0"/>
      <c:txPr>
        <a:bodyPr/>
        <a:lstStyle/>
        <a:p>
          <a:pPr lvl="0">
            <a:defRPr b="0">
              <a:solidFill>
                <a:srgbClr val="1A1A1A"/>
              </a:solidFill>
              <a:latin typeface="Tahoma"/>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'Social Data '!$C$27</c:f>
            </c:strRef>
          </c:tx>
          <c:spPr>
            <a:solidFill>
              <a:schemeClr val="accent1"/>
            </a:solidFill>
            <a:ln cmpd="sng">
              <a:solidFill>
                <a:srgbClr val="000000"/>
              </a:solidFill>
            </a:ln>
          </c:spPr>
          <c:cat>
            <c:strRef>
              <c:f>'Social Data '!$B$28:$B$30</c:f>
            </c:strRef>
          </c:cat>
          <c:val>
            <c:numRef>
              <c:f>'Social Data '!$C$28:$C$30</c:f>
              <c:numCache/>
            </c:numRef>
          </c:val>
        </c:ser>
        <c:ser>
          <c:idx val="1"/>
          <c:order val="1"/>
          <c:tx>
            <c:strRef>
              <c:f>'Social Data '!$D$27</c:f>
            </c:strRef>
          </c:tx>
          <c:spPr>
            <a:solidFill>
              <a:schemeClr val="accent2"/>
            </a:solidFill>
            <a:ln cmpd="sng">
              <a:solidFill>
                <a:srgbClr val="000000"/>
              </a:solidFill>
            </a:ln>
          </c:spPr>
          <c:cat>
            <c:strRef>
              <c:f>'Social Data '!$B$28:$B$30</c:f>
            </c:strRef>
          </c:cat>
          <c:val>
            <c:numRef>
              <c:f>'Social Data '!$D$28:$D$30</c:f>
              <c:numCache/>
            </c:numRef>
          </c:val>
        </c:ser>
        <c:axId val="1816628594"/>
        <c:axId val="535019369"/>
      </c:barChart>
      <c:catAx>
        <c:axId val="18166285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35019369"/>
      </c:catAx>
      <c:valAx>
        <c:axId val="53501936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662859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Garamond"/>
              </a:defRPr>
            </a:pPr>
            <a:r>
              <a:rPr b="0">
                <a:solidFill>
                  <a:srgbClr val="000000"/>
                </a:solidFill>
                <a:latin typeface="Garamond"/>
              </a:rPr>
              <a:t>Breakdown of US Adults based off AI Use </a:t>
            </a:r>
          </a:p>
        </c:rich>
      </c:tx>
      <c:overlay val="0"/>
    </c:title>
    <c:plotArea>
      <c:layout/>
      <c:pieChart>
        <c:varyColors val="1"/>
        <c:ser>
          <c:idx val="0"/>
          <c:order val="0"/>
          <c:dPt>
            <c:idx val="0"/>
            <c:spPr>
              <a:solidFill>
                <a:srgbClr val="F6B26B"/>
              </a:solidFill>
            </c:spPr>
          </c:dPt>
          <c:dPt>
            <c:idx val="1"/>
            <c:spPr>
              <a:solidFill>
                <a:srgbClr val="EA9999"/>
              </a:solidFill>
            </c:spPr>
          </c:dPt>
          <c:dPt>
            <c:idx val="2"/>
          </c:dPt>
          <c:dPt>
            <c:idx val="3"/>
          </c:dPt>
          <c:dLbls>
            <c:showLegendKey val="0"/>
            <c:showVal val="0"/>
            <c:showCatName val="0"/>
            <c:showSerName val="0"/>
            <c:showPercent val="0"/>
            <c:showBubbleSize val="0"/>
            <c:showLeaderLines val="1"/>
          </c:dLbls>
          <c:val>
            <c:numRef>
              <c:f>'Social Data '!$E$33:$E$36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Garamond"/>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Garamond"/>
              </a:defRPr>
            </a:pPr>
            <a:r>
              <a:rPr b="0">
                <a:solidFill>
                  <a:srgbClr val="000000"/>
                </a:solidFill>
                <a:latin typeface="Garamond"/>
              </a:rPr>
              <a:t>Lobbying Expenses for Frontier AI Labs Since 2023</a:t>
            </a:r>
          </a:p>
        </c:rich>
      </c:tx>
      <c:overlay val="0"/>
    </c:title>
    <c:plotArea>
      <c:layout/>
      <c:barChart>
        <c:barDir val="col"/>
        <c:ser>
          <c:idx val="0"/>
          <c:order val="0"/>
          <c:tx>
            <c:strRef>
              <c:f>'Political Data'!$B$13:$B$14</c:f>
            </c:strRef>
          </c:tx>
          <c:spPr>
            <a:solidFill>
              <a:schemeClr val="accent1"/>
            </a:solidFill>
            <a:ln cmpd="sng">
              <a:solidFill>
                <a:srgbClr val="000000"/>
              </a:solidFill>
            </a:ln>
          </c:spPr>
          <c:cat>
            <c:strRef>
              <c:f>'Political Data'!$C$15:$C$28</c:f>
            </c:strRef>
          </c:cat>
          <c:val>
            <c:numRef>
              <c:f>'Political Data'!$B$15:$B$28</c:f>
              <c:numCache/>
            </c:numRef>
          </c:val>
        </c:ser>
        <c:ser>
          <c:idx val="1"/>
          <c:order val="1"/>
          <c:tx>
            <c:strRef>
              <c:f>'Political Data'!$D$13:$D$14</c:f>
            </c:strRef>
          </c:tx>
          <c:cat>
            <c:strRef>
              <c:f>'Political Data'!$C$15:$C$28</c:f>
            </c:strRef>
          </c:cat>
          <c:val>
            <c:numRef>
              <c:f>'Political Data'!$D$15:$D$28</c:f>
              <c:numCache/>
            </c:numRef>
          </c:val>
        </c:ser>
        <c:axId val="123440280"/>
        <c:axId val="85126531"/>
      </c:barChart>
      <c:catAx>
        <c:axId val="123440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5126531"/>
      </c:catAx>
      <c:valAx>
        <c:axId val="851265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2344028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'Political Data'!$D$36:$D$37</c:f>
            </c:strRef>
          </c:tx>
          <c:spPr>
            <a:solidFill>
              <a:schemeClr val="accent1"/>
            </a:solidFill>
            <a:ln cmpd="sng">
              <a:solidFill>
                <a:srgbClr val="000000"/>
              </a:solidFill>
            </a:ln>
          </c:spPr>
          <c:cat>
            <c:strRef>
              <c:f>'Political Data'!$B$38:$B$96</c:f>
            </c:strRef>
          </c:cat>
          <c:val>
            <c:numRef>
              <c:f>'Political Data'!$D$38:$D$96</c:f>
              <c:numCache/>
            </c:numRef>
          </c:val>
        </c:ser>
        <c:ser>
          <c:idx val="1"/>
          <c:order val="1"/>
          <c:tx>
            <c:strRef>
              <c:f>'Political Data'!$C$36:$C$37</c:f>
            </c:strRef>
          </c:tx>
          <c:spPr>
            <a:solidFill>
              <a:schemeClr val="accent2"/>
            </a:solidFill>
            <a:ln cmpd="sng">
              <a:solidFill>
                <a:srgbClr val="000000"/>
              </a:solidFill>
            </a:ln>
          </c:spPr>
          <c:cat>
            <c:strRef>
              <c:f>'Political Data'!$B$38:$B$96</c:f>
            </c:strRef>
          </c:cat>
          <c:val>
            <c:numRef>
              <c:f>'Political Data'!$C$38:$C$96</c:f>
              <c:numCache/>
            </c:numRef>
          </c:val>
        </c:ser>
        <c:ser>
          <c:idx val="2"/>
          <c:order val="2"/>
          <c:tx>
            <c:strRef>
              <c:f>'Political Data'!$D$36:$D$37</c:f>
            </c:strRef>
          </c:tx>
          <c:spPr>
            <a:solidFill>
              <a:schemeClr val="accent3"/>
            </a:solidFill>
            <a:ln cmpd="sng">
              <a:solidFill>
                <a:srgbClr val="000000"/>
              </a:solidFill>
            </a:ln>
          </c:spPr>
          <c:cat>
            <c:strRef>
              <c:f>'Political Data'!$B$38:$B$96</c:f>
            </c:strRef>
          </c:cat>
          <c:val>
            <c:numRef>
              <c:f>'Political Data'!$D$38:$D$96</c:f>
              <c:numCache/>
            </c:numRef>
          </c:val>
        </c:ser>
        <c:ser>
          <c:idx val="3"/>
          <c:order val="3"/>
          <c:tx>
            <c:strRef>
              <c:f>'Political Data'!$C$36:$C$37</c:f>
            </c:strRef>
          </c:tx>
          <c:spPr>
            <a:solidFill>
              <a:schemeClr val="accent4"/>
            </a:solidFill>
            <a:ln cmpd="sng">
              <a:solidFill>
                <a:srgbClr val="000000"/>
              </a:solidFill>
            </a:ln>
          </c:spPr>
          <c:cat>
            <c:strRef>
              <c:f>'Political Data'!$B$38:$B$96</c:f>
            </c:strRef>
          </c:cat>
          <c:val>
            <c:numRef>
              <c:f>'Political Data'!$C$38:$C$96</c:f>
              <c:numCache/>
            </c:numRef>
          </c:val>
        </c:ser>
        <c:ser>
          <c:idx val="4"/>
          <c:order val="4"/>
          <c:tx>
            <c:strRef>
              <c:f>'Political Data'!$C$19:$C$20</c:f>
            </c:strRef>
          </c:tx>
          <c:spPr>
            <a:solidFill>
              <a:schemeClr val="accent5"/>
            </a:solidFill>
            <a:ln cmpd="sng">
              <a:solidFill>
                <a:srgbClr val="000000"/>
              </a:solidFill>
            </a:ln>
          </c:spPr>
          <c:cat>
            <c:strRef>
              <c:f>'Political Data'!$B$38:$B$96</c:f>
            </c:strRef>
          </c:cat>
          <c:val>
            <c:numRef>
              <c:f>'Political Data'!$C$21:$C$28</c:f>
              <c:numCache/>
            </c:numRef>
          </c:val>
        </c:ser>
        <c:ser>
          <c:idx val="5"/>
          <c:order val="5"/>
          <c:tx>
            <c:strRef>
              <c:f>'Political Data'!$D$19:$D$20</c:f>
            </c:strRef>
          </c:tx>
          <c:cat>
            <c:strRef>
              <c:f>'Political Data'!$B$38:$B$96</c:f>
            </c:strRef>
          </c:cat>
          <c:val>
            <c:numRef>
              <c:f>'Political Data'!$D$21:$D$28</c:f>
              <c:numCache/>
            </c:numRef>
          </c:val>
        </c:ser>
        <c:axId val="1757176257"/>
        <c:axId val="977620856"/>
      </c:barChart>
      <c:catAx>
        <c:axId val="1757176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7620856"/>
      </c:catAx>
      <c:valAx>
        <c:axId val="977620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717625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Garamond"/>
              </a:defRPr>
            </a:pPr>
            <a:r>
              <a:rPr b="0">
                <a:solidFill>
                  <a:srgbClr val="000000"/>
                </a:solidFill>
                <a:latin typeface="Garamond"/>
              </a:rPr>
              <a:t>Level
(from 1 to 5) vs. Domain</a:t>
            </a:r>
          </a:p>
        </c:rich>
      </c:tx>
      <c:overlay val="0"/>
    </c:title>
    <c:plotArea>
      <c:layout/>
      <c:barChart>
        <c:barDir val="col"/>
        <c:ser>
          <c:idx val="0"/>
          <c:order val="0"/>
          <c:tx>
            <c:strRef>
              <c:f>'Capability (To Do leading mdls '!$D$7</c:f>
            </c:strRef>
          </c:tx>
          <c:spPr>
            <a:solidFill>
              <a:srgbClr val="93C47D"/>
            </a:solidFill>
            <a:ln cmpd="sng">
              <a:solidFill>
                <a:srgbClr val="000000"/>
              </a:solidFill>
            </a:ln>
          </c:spPr>
          <c:cat>
            <c:strRef>
              <c:f>'Capability (To Do leading mdls '!$C$8:$C$16</c:f>
            </c:strRef>
          </c:cat>
          <c:val>
            <c:numRef>
              <c:f>'Capability (To Do leading mdls '!$D$8:$D$16</c:f>
              <c:numCache/>
            </c:numRef>
          </c:val>
        </c:ser>
        <c:axId val="742790992"/>
        <c:axId val="1683828297"/>
      </c:barChart>
      <c:catAx>
        <c:axId val="742790992"/>
        <c:scaling>
          <c:orientation val="minMax"/>
        </c:scaling>
        <c:delete val="0"/>
        <c:axPos val="b"/>
        <c:title>
          <c:tx>
            <c:rich>
              <a:bodyPr/>
              <a:lstStyle/>
              <a:p>
                <a:pPr lvl="0">
                  <a:defRPr b="0">
                    <a:solidFill>
                      <a:srgbClr val="000000"/>
                    </a:solidFill>
                    <a:latin typeface="Garamond"/>
                  </a:defRPr>
                </a:pPr>
                <a:r>
                  <a:rPr b="0">
                    <a:solidFill>
                      <a:srgbClr val="000000"/>
                    </a:solidFill>
                    <a:latin typeface="Garamond"/>
                  </a:rPr>
                  <a:t>Domain</a:t>
                </a:r>
              </a:p>
            </c:rich>
          </c:tx>
          <c:overlay val="0"/>
        </c:title>
        <c:numFmt formatCode="General" sourceLinked="1"/>
        <c:majorTickMark val="none"/>
        <c:minorTickMark val="none"/>
        <c:spPr/>
        <c:txPr>
          <a:bodyPr/>
          <a:lstStyle/>
          <a:p>
            <a:pPr lvl="0">
              <a:defRPr b="0">
                <a:solidFill>
                  <a:srgbClr val="000000"/>
                </a:solidFill>
                <a:latin typeface="Garamond"/>
              </a:defRPr>
            </a:pPr>
          </a:p>
        </c:txPr>
        <c:crossAx val="1683828297"/>
      </c:catAx>
      <c:valAx>
        <c:axId val="1683828297"/>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aramond"/>
                  </a:defRPr>
                </a:pPr>
                <a:r>
                  <a:rPr b="0">
                    <a:solidFill>
                      <a:srgbClr val="000000"/>
                    </a:solidFill>
                    <a:latin typeface="Garamond"/>
                  </a:rPr>
                  <a:t>Level
(from 1 to 5)</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742790992"/>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790575</xdr:colOff>
      <xdr:row>53</xdr:row>
      <xdr:rowOff>95250</xdr:rowOff>
    </xdr:from>
    <xdr:ext cx="11153775" cy="5524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66675</xdr:colOff>
      <xdr:row>31</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809625</xdr:colOff>
      <xdr:row>8</xdr:row>
      <xdr:rowOff>0</xdr:rowOff>
    </xdr:from>
    <xdr:ext cx="4781550" cy="29527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25</xdr:row>
      <xdr:rowOff>47625</xdr:rowOff>
    </xdr:from>
    <xdr:ext cx="5353050" cy="33051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914400</xdr:colOff>
      <xdr:row>42</xdr:row>
      <xdr:rowOff>161925</xdr:rowOff>
    </xdr:from>
    <xdr:ext cx="4248150" cy="26289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447675</xdr:colOff>
      <xdr:row>12</xdr:row>
      <xdr:rowOff>114300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447675</xdr:colOff>
      <xdr:row>32</xdr:row>
      <xdr:rowOff>19050</xdr:rowOff>
    </xdr:from>
    <xdr:ext cx="90297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161925</xdr:colOff>
      <xdr:row>18</xdr:row>
      <xdr:rowOff>142875</xdr:rowOff>
    </xdr:from>
    <xdr:ext cx="8191500" cy="50673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red.stlouisfed.org/series/LES1252881500Q" TargetMode="External"/><Relationship Id="rId22" Type="http://schemas.openxmlformats.org/officeDocument/2006/relationships/hyperlink" Target="https://www.stlouisfed.org/on-the-economy/2026/jan/tracking-ai-contribution-gdp-growth" TargetMode="External"/><Relationship Id="rId21" Type="http://schemas.openxmlformats.org/officeDocument/2006/relationships/hyperlink" Target="https://www.federalreserve.gov/econres/scfindex.htm" TargetMode="External"/><Relationship Id="rId24" Type="http://schemas.openxmlformats.org/officeDocument/2006/relationships/hyperlink" Target="https://www.wecreateproblems.com/blog/ai-in-hr-statistics" TargetMode="External"/><Relationship Id="rId23" Type="http://schemas.openxmlformats.org/officeDocument/2006/relationships/hyperlink" Target="https://www.stlouisfed.org/on-the-economy/2026/jan/tracking-ai-contribution-gdp-growth" TargetMode="External"/><Relationship Id="rId1" Type="http://schemas.openxmlformats.org/officeDocument/2006/relationships/hyperlink" Target="https://www.stlouisfed.org/on-the-economy/2026/jan/tracking-ai-contribution-gdp-growth" TargetMode="External"/><Relationship Id="rId2" Type="http://schemas.openxmlformats.org/officeDocument/2006/relationships/hyperlink" Target="https://www.pwc.com/gx/en/news-room/press-releases/2025/ai-linked-to-a-fourfold-increase-in-productivity-growth.html" TargetMode="External"/><Relationship Id="rId3" Type="http://schemas.openxmlformats.org/officeDocument/2006/relationships/hyperlink" Target="https://www.stlouisfed.org/on-the-economy/2024/apr/ai-productivity-growth-evidence-historical-development-other-technologies" TargetMode="External"/><Relationship Id="rId4" Type="http://schemas.openxmlformats.org/officeDocument/2006/relationships/hyperlink" Target="https://reports.weforum.org/docs/WEF_Future_of_Jobs_Report_2025.pdf" TargetMode="External"/><Relationship Id="rId9" Type="http://schemas.openxmlformats.org/officeDocument/2006/relationships/hyperlink" Target="https://www.datacentermap.com/" TargetMode="External"/><Relationship Id="rId26" Type="http://schemas.openxmlformats.org/officeDocument/2006/relationships/hyperlink" Target="https://www.pwc.com/gx/en/news-room/press-releases/2025/ai-linked-to-a-fourfold-increase-in-productivity-growth.html" TargetMode="External"/><Relationship Id="rId25" Type="http://schemas.openxmlformats.org/officeDocument/2006/relationships/hyperlink" Target="https://www.bls.gov/charts/employment-situation/civilian-unemployment-rate.htm" TargetMode="External"/><Relationship Id="rId28" Type="http://schemas.openxmlformats.org/officeDocument/2006/relationships/hyperlink" Target="https://www.resumebuilder.com/7-in-10-companies-will-use-ai-in-the-hiring-process-in-2025-despite-most-saying-its-biased/" TargetMode="External"/><Relationship Id="rId27" Type="http://schemas.openxmlformats.org/officeDocument/2006/relationships/hyperlink" Target="https://www.pwc.com/us/en/tech-effect/ai-analytics/ai-agent-survey.html" TargetMode="External"/><Relationship Id="rId5" Type="http://schemas.openxmlformats.org/officeDocument/2006/relationships/hyperlink" Target="https://www.intelmarketresearch.com/ai-companion-platform-2025-2032-337-4587" TargetMode="External"/><Relationship Id="rId6" Type="http://schemas.openxmlformats.org/officeDocument/2006/relationships/hyperlink" Target="https://www.coherentmarketinsights.com/industry-reports/united-states-data-center-market" TargetMode="External"/><Relationship Id="rId29" Type="http://schemas.openxmlformats.org/officeDocument/2006/relationships/hyperlink" Target="https://www.resumebuilder.com/7-in-10-companies-will-use-ai-in-the-hiring-process-in-2025-despite-most-saying-its-biased/" TargetMode="External"/><Relationship Id="rId7" Type="http://schemas.openxmlformats.org/officeDocument/2006/relationships/hyperlink" Target="https://www.mckinsey.com/industries/technology-media-and-telecommunications/our-insights/the-cost-of-compute-a-7-trillion-dollar-race-to-scale-data-centers" TargetMode="External"/><Relationship Id="rId8" Type="http://schemas.openxmlformats.org/officeDocument/2006/relationships/hyperlink" Target="https://www.mckinsey.com/industries/technology-media-and-telecommunications/our-insights/the-cost-of-compute-a-7-trillion-dollar-race-to-scale-data-centers" TargetMode="External"/><Relationship Id="rId31" Type="http://schemas.openxmlformats.org/officeDocument/2006/relationships/hyperlink" Target="https://www.oecd.org/en/publications/macroeconomic-productivity-gains-from-artificial-intelligence-in-g7-economies_a5319ab5-en.html" TargetMode="External"/><Relationship Id="rId30" Type="http://schemas.openxmlformats.org/officeDocument/2006/relationships/hyperlink" Target="https://oecd.ai/en/wonk/ai-workforce-what-linkedin-data-reveals-about-ai-talent-trends-in-oecd-ai-live-data" TargetMode="External"/><Relationship Id="rId11" Type="http://schemas.openxmlformats.org/officeDocument/2006/relationships/hyperlink" Target="https://www.forbes.com/profile/sam-altman/" TargetMode="External"/><Relationship Id="rId10" Type="http://schemas.openxmlformats.org/officeDocument/2006/relationships/hyperlink" Target="https://www.datacentermap.com/" TargetMode="External"/><Relationship Id="rId32" Type="http://schemas.openxmlformats.org/officeDocument/2006/relationships/drawing" Target="../drawings/drawing1.xml"/><Relationship Id="rId13" Type="http://schemas.openxmlformats.org/officeDocument/2006/relationships/hyperlink" Target="https://www.forbes.com/profile/jensen-huang/?list=billionaires" TargetMode="External"/><Relationship Id="rId12" Type="http://schemas.openxmlformats.org/officeDocument/2006/relationships/hyperlink" Target="https://www.forbes.com/profile/dario-amodei/" TargetMode="External"/><Relationship Id="rId15" Type="http://schemas.openxmlformats.org/officeDocument/2006/relationships/hyperlink" Target="https://www.forbes.com/profile/larry-page/?list=billionaires" TargetMode="External"/><Relationship Id="rId14" Type="http://schemas.openxmlformats.org/officeDocument/2006/relationships/hyperlink" Target="https://www.forbes.com/billionaires/" TargetMode="External"/><Relationship Id="rId17" Type="http://schemas.openxmlformats.org/officeDocument/2006/relationships/hyperlink" Target="https://www.forbes.com/profile/masayoshi-son/?list=billionaires" TargetMode="External"/><Relationship Id="rId16" Type="http://schemas.openxmlformats.org/officeDocument/2006/relationships/hyperlink" Target="https://www.forbes.com/profile/mark-zuckerberg/?list=billionaires" TargetMode="External"/><Relationship Id="rId19" Type="http://schemas.openxmlformats.org/officeDocument/2006/relationships/hyperlink" Target="https://www.forbes.com/profile/michael-dell/?list=billionaires" TargetMode="External"/><Relationship Id="rId18" Type="http://schemas.openxmlformats.org/officeDocument/2006/relationships/hyperlink" Target="https://www.forbes.com/profile/jeff-bezos/?list=billionaires"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match.mediaroom.com/2025-06-10-Match-and-The-Kinsey-Institute-Unveil-14th-Annual-Singles-in-America-Study" TargetMode="External"/><Relationship Id="rId21" Type="http://schemas.openxmlformats.org/officeDocument/2006/relationships/drawing" Target="../drawings/drawing2.xml"/><Relationship Id="rId1" Type="http://schemas.openxmlformats.org/officeDocument/2006/relationships/hyperlink" Target="https://www.demandsage.com/character-ai-statistics/" TargetMode="External"/><Relationship Id="rId2" Type="http://schemas.openxmlformats.org/officeDocument/2006/relationships/hyperlink" Target="https://www.microsoft.com/en-us/corporate-responsibility/topics/ai-economy-institute/reports/global-ai-adoption-2025/" TargetMode="External"/><Relationship Id="rId3" Type="http://schemas.openxmlformats.org/officeDocument/2006/relationships/hyperlink" Target="https://www.microsoft.com/en-us/corporate-responsibility/topics/ai-economy-institute/reports/global-ai-adoption-2025/" TargetMode="External"/><Relationship Id="rId4" Type="http://schemas.openxmlformats.org/officeDocument/2006/relationships/hyperlink" Target="https://www.pewresearch.org/internet/2025/04/03/artificial-intelligence-in-daily-life-views-and-experiences/" TargetMode="External"/><Relationship Id="rId9" Type="http://schemas.openxmlformats.org/officeDocument/2006/relationships/hyperlink" Target="https://cdt.org/wp-content/uploads/2025/10/CDT-2025-Hand-in-Hand-Polling-111225-accessible.pdf" TargetMode="External"/><Relationship Id="rId5" Type="http://schemas.openxmlformats.org/officeDocument/2006/relationships/hyperlink" Target="https://www.pewresearch.org/internet/2025/12/09/teens-social-media-and-ai-chatbots-2025/" TargetMode="External"/><Relationship Id="rId6" Type="http://schemas.openxmlformats.org/officeDocument/2006/relationships/hyperlink" Target="https://vantagepointdallascounseling.com/research/artificial-romance-a-study-of-ai-and-human-relationships/" TargetMode="External"/><Relationship Id="rId7" Type="http://schemas.openxmlformats.org/officeDocument/2006/relationships/hyperlink" Target="https://arxiv.org/pdf/2506.12605" TargetMode="External"/><Relationship Id="rId8" Type="http://schemas.openxmlformats.org/officeDocument/2006/relationships/hyperlink" Target="https://mashable.com/article/gen-z-marry-aritificial-intelligence-joi-ai-survey" TargetMode="External"/><Relationship Id="rId11" Type="http://schemas.openxmlformats.org/officeDocument/2006/relationships/hyperlink" Target="https://cdt.org/wp-content/uploads/2025/10/CDT-2025-Hand-in-Hand-Polling-111225-accessible.pdf" TargetMode="External"/><Relationship Id="rId10" Type="http://schemas.openxmlformats.org/officeDocument/2006/relationships/hyperlink" Target="https://cdt.org/wp-content/uploads/2025/10/CDT-2025-Hand-in-Hand-Polling-111225-accessible.pdf" TargetMode="External"/><Relationship Id="rId13" Type="http://schemas.openxmlformats.org/officeDocument/2006/relationships/hyperlink" Target="https://www.pewresearch.org/internet/2025/04/03/artificial-intelligence-in-daily-life-views-and-experiences/" TargetMode="External"/><Relationship Id="rId12" Type="http://schemas.openxmlformats.org/officeDocument/2006/relationships/hyperlink" Target="https://cdt.org/wp-content/uploads/2025/10/CDT-2025-Hand-in-Hand-Polling-111225-accessible.pdf" TargetMode="External"/><Relationship Id="rId15" Type="http://schemas.openxmlformats.org/officeDocument/2006/relationships/hyperlink" Target="https://www.pewresearch.org/internet/2025/04/03/artificial-intelligence-in-daily-life-views-and-experiences/" TargetMode="External"/><Relationship Id="rId14" Type="http://schemas.openxmlformats.org/officeDocument/2006/relationships/hyperlink" Target="https://www.pewresearch.org/internet/2025/04/03/artificial-intelligence-in-daily-life-views-and-experiences/" TargetMode="External"/><Relationship Id="rId17" Type="http://schemas.openxmlformats.org/officeDocument/2006/relationships/hyperlink" Target="https://www.pewresearch.org/internet/2025/04/03/artificial-intelligence-in-daily-life-views-and-experiences/" TargetMode="External"/><Relationship Id="rId16" Type="http://schemas.openxmlformats.org/officeDocument/2006/relationships/hyperlink" Target="https://www.pewresearch.org/internet/2025/04/03/artificial-intelligence-in-daily-life-views-and-experiences/" TargetMode="External"/><Relationship Id="rId19" Type="http://schemas.openxmlformats.org/officeDocument/2006/relationships/hyperlink" Target="https://data.worldbank.org/indicator/SP.POP.1564.TO.ZS?contextual=population-by-age&amp;end=2024&amp;start=1960&amp;view=chart" TargetMode="External"/><Relationship Id="rId18" Type="http://schemas.openxmlformats.org/officeDocument/2006/relationships/hyperlink" Target="https://www.worldometers.info/world-populatio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i4good.org/" TargetMode="External"/><Relationship Id="rId22" Type="http://schemas.openxmlformats.org/officeDocument/2006/relationships/hyperlink" Target="https://action.safe.ai/" TargetMode="External"/><Relationship Id="rId21" Type="http://schemas.openxmlformats.org/officeDocument/2006/relationships/hyperlink" Target="https://partnershiponai.org/" TargetMode="External"/><Relationship Id="rId24" Type="http://schemas.openxmlformats.org/officeDocument/2006/relationships/drawing" Target="../drawings/drawing3.xml"/><Relationship Id="rId23" Type="http://schemas.openxmlformats.org/officeDocument/2006/relationships/hyperlink" Target="https://www.nbcnews.com/politics/trump-administration/white-house-irked-leading-future-new-100m-ai-super-pac-rcna239392" TargetMode="External"/><Relationship Id="rId1" Type="http://schemas.openxmlformats.org/officeDocument/2006/relationships/hyperlink" Target="https://www.opensecrets.org/news/2025/11/data-centers-are-fueling-the-lobbying-industry-not-just-the-growth-of-ai/" TargetMode="External"/><Relationship Id="rId2" Type="http://schemas.openxmlformats.org/officeDocument/2006/relationships/hyperlink" Target="https://www.opensecrets.org/federal-lobbying/clients/lobbyists?cycle=2025&amp;id=D000084252" TargetMode="External"/><Relationship Id="rId3" Type="http://schemas.openxmlformats.org/officeDocument/2006/relationships/hyperlink" Target="https://www.opensecrets.org/federal-lobbying/clients/summary?cycle=2023&amp;id=D000106114" TargetMode="External"/><Relationship Id="rId4" Type="http://schemas.openxmlformats.org/officeDocument/2006/relationships/hyperlink" Target="https://www.opensecrets.org/federal-lobbying/clients/summary?cycle=2023&amp;id=D000110749" TargetMode="External"/><Relationship Id="rId9" Type="http://schemas.openxmlformats.org/officeDocument/2006/relationships/hyperlink" Target="https://www.opensecrets.org/federal-lobbying/clients/summary?cycle=2023&amp;id=D000033563" TargetMode="External"/><Relationship Id="rId5" Type="http://schemas.openxmlformats.org/officeDocument/2006/relationships/hyperlink" Target="https://cissm.umd.edu/news/majorities-republicans-and-democrats-overwhelmingly-favor-government-regulating-artificial" TargetMode="External"/><Relationship Id="rId6" Type="http://schemas.openxmlformats.org/officeDocument/2006/relationships/hyperlink" Target="https://cissm.umd.edu/news/majorities-republicans-and-democrats-overwhelmingly-favor-government-regulating-artificial" TargetMode="External"/><Relationship Id="rId7" Type="http://schemas.openxmlformats.org/officeDocument/2006/relationships/hyperlink" Target="https://cissm.umd.edu/news/majorities-republicans-and-democrats-overwhelmingly-favor-government-regulating-artificial" TargetMode="External"/><Relationship Id="rId8" Type="http://schemas.openxmlformats.org/officeDocument/2006/relationships/hyperlink" Target="https://www.congress.gov/crs-product/R48583" TargetMode="External"/><Relationship Id="rId11" Type="http://schemas.openxmlformats.org/officeDocument/2006/relationships/hyperlink" Target="https://www.opensecrets.org/federal-lobbying/clients/summary?id=D000067823" TargetMode="External"/><Relationship Id="rId10" Type="http://schemas.openxmlformats.org/officeDocument/2006/relationships/hyperlink" Target="https://www.opensecrets.org/federal-lobbying/clients/summary?cycle=2023&amp;id=D000023883" TargetMode="External"/><Relationship Id="rId13" Type="http://schemas.openxmlformats.org/officeDocument/2006/relationships/hyperlink" Target="https://www.opensecrets.org/federal-lobbying/clients/summary?cycle=2025&amp;id=D000000422" TargetMode="External"/><Relationship Id="rId12" Type="http://schemas.openxmlformats.org/officeDocument/2006/relationships/hyperlink" Target="https://www.opensecrets.org/federal-lobbying/clients/summary?cycle=2025&amp;id=D000000115" TargetMode="External"/><Relationship Id="rId15" Type="http://schemas.openxmlformats.org/officeDocument/2006/relationships/hyperlink" Target="https://www.opensecrets.org/federal-lobbying/clients/summary?cycle=2025&amp;id=D000021754" TargetMode="External"/><Relationship Id="rId14" Type="http://schemas.openxmlformats.org/officeDocument/2006/relationships/hyperlink" Target="https://www.opensecrets.org/federal-lobbying/clients/summary?cycle=2023&amp;id=D000036303" TargetMode="External"/><Relationship Id="rId17" Type="http://schemas.openxmlformats.org/officeDocument/2006/relationships/hyperlink" Target="https://www.opensecrets.org/federal-lobbying/clients/summary?id=D000000794" TargetMode="External"/><Relationship Id="rId16" Type="http://schemas.openxmlformats.org/officeDocument/2006/relationships/hyperlink" Target="https://www.opensecrets.org/federal-lobbying/clients/summary?id=D000000720" TargetMode="External"/><Relationship Id="rId19" Type="http://schemas.openxmlformats.org/officeDocument/2006/relationships/hyperlink" Target="https://www.opensecrets.org/federal-lobbying/clients/summary?id=D000000804" TargetMode="External"/><Relationship Id="rId18" Type="http://schemas.openxmlformats.org/officeDocument/2006/relationships/hyperlink" Target="https://www.opensecrets.org/federal-lobbying/clients/summary?id=D0000005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ecd.org/en/publications/introducing-the-oecd-ai-capability-indicators_be745f04-en/full-report/component-4.html" TargetMode="External"/><Relationship Id="rId2" Type="http://schemas.openxmlformats.org/officeDocument/2006/relationships/hyperlink" Target="https://www.oecd.org/en/publications/introducing-the-oecd-ai-capability-indicators_be745f04-en/full-report/component-4.html" TargetMode="External"/><Relationship Id="rId3" Type="http://schemas.openxmlformats.org/officeDocument/2006/relationships/hyperlink" Target="https://arxiv.org/pdf/2504.07139"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worldometers.info/world-population/" TargetMode="External"/><Relationship Id="rId2" Type="http://schemas.openxmlformats.org/officeDocument/2006/relationships/hyperlink" Target="https://data.worldbank.org/indicator/SP.POP.1564.TO.ZS?contextual=population-by-age&amp;end=2024&amp;start=1960&amp;view=chart"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c r="C1" s="2"/>
      <c r="D1" s="2"/>
      <c r="E1" s="2"/>
      <c r="F1" s="2"/>
      <c r="G1" s="2"/>
    </row>
    <row r="2">
      <c r="A2" s="3"/>
      <c r="B2" s="3"/>
      <c r="C2" s="3"/>
      <c r="D2" s="3"/>
      <c r="E2" s="3"/>
    </row>
    <row r="3">
      <c r="A3" s="4"/>
      <c r="B3" s="4" t="s">
        <v>1</v>
      </c>
      <c r="C3" s="3"/>
      <c r="D3" s="3"/>
      <c r="E3" s="5" t="s">
        <v>2</v>
      </c>
    </row>
    <row r="4">
      <c r="A4" s="3"/>
      <c r="B4" s="3"/>
      <c r="C4" s="3"/>
      <c r="D4" s="3"/>
      <c r="E4" s="3"/>
    </row>
    <row r="5">
      <c r="A5" s="6" t="s">
        <v>3</v>
      </c>
      <c r="B5" s="6" t="s">
        <v>4</v>
      </c>
      <c r="C5" s="6" t="s">
        <v>5</v>
      </c>
      <c r="D5" s="6" t="s">
        <v>6</v>
      </c>
      <c r="E5" s="6" t="s">
        <v>7</v>
      </c>
    </row>
    <row r="6">
      <c r="A6" s="7">
        <f t="shared" ref="A6:A73" si="1">row(A6)-5</f>
        <v>1</v>
      </c>
      <c r="B6" s="8" t="s">
        <v>8</v>
      </c>
      <c r="C6" s="8" t="s">
        <v>9</v>
      </c>
      <c r="D6" s="9" t="s">
        <v>10</v>
      </c>
      <c r="E6" s="10">
        <v>46034.0</v>
      </c>
    </row>
    <row r="7">
      <c r="A7" s="7">
        <f t="shared" si="1"/>
        <v>2</v>
      </c>
      <c r="B7" s="11" t="s">
        <v>11</v>
      </c>
      <c r="C7" s="8" t="s">
        <v>12</v>
      </c>
      <c r="D7" s="8" t="s">
        <v>12</v>
      </c>
      <c r="E7" s="8" t="s">
        <v>12</v>
      </c>
    </row>
    <row r="8">
      <c r="A8" s="7">
        <f t="shared" si="1"/>
        <v>3</v>
      </c>
      <c r="B8" s="8" t="s">
        <v>13</v>
      </c>
      <c r="C8" s="8" t="s">
        <v>14</v>
      </c>
    </row>
    <row r="9">
      <c r="A9" s="7">
        <f t="shared" si="1"/>
        <v>4</v>
      </c>
      <c r="B9" s="11" t="s">
        <v>15</v>
      </c>
      <c r="C9" s="8" t="s">
        <v>16</v>
      </c>
      <c r="D9" s="12" t="s">
        <v>17</v>
      </c>
    </row>
    <row r="10">
      <c r="A10" s="7">
        <f t="shared" si="1"/>
        <v>5</v>
      </c>
      <c r="B10" s="8" t="s">
        <v>18</v>
      </c>
      <c r="D10" s="12" t="s">
        <v>19</v>
      </c>
    </row>
    <row r="11">
      <c r="A11" s="7">
        <f t="shared" si="1"/>
        <v>6</v>
      </c>
      <c r="B11" s="8" t="s">
        <v>20</v>
      </c>
      <c r="C11" s="8" t="s">
        <v>21</v>
      </c>
    </row>
    <row r="12">
      <c r="A12" s="7">
        <f t="shared" si="1"/>
        <v>7</v>
      </c>
      <c r="B12" s="8" t="s">
        <v>22</v>
      </c>
      <c r="C12" s="13">
        <v>0.83</v>
      </c>
    </row>
    <row r="13">
      <c r="A13" s="7">
        <f t="shared" si="1"/>
        <v>8</v>
      </c>
      <c r="B13" s="8" t="s">
        <v>23</v>
      </c>
      <c r="C13" s="13">
        <v>0.29</v>
      </c>
    </row>
    <row r="14">
      <c r="A14" s="7">
        <f t="shared" si="1"/>
        <v>9</v>
      </c>
      <c r="B14" s="8" t="s">
        <v>24</v>
      </c>
      <c r="C14" s="8" t="s">
        <v>25</v>
      </c>
      <c r="E14" s="14">
        <v>45799.0</v>
      </c>
    </row>
    <row r="15">
      <c r="A15" s="7">
        <f t="shared" si="1"/>
        <v>10</v>
      </c>
      <c r="B15" s="8" t="s">
        <v>26</v>
      </c>
      <c r="C15" s="8" t="s">
        <v>27</v>
      </c>
      <c r="D15" s="12" t="s">
        <v>28</v>
      </c>
    </row>
    <row r="16">
      <c r="A16" s="7">
        <f t="shared" si="1"/>
        <v>11</v>
      </c>
    </row>
    <row r="17">
      <c r="A17" s="7">
        <f t="shared" si="1"/>
        <v>12</v>
      </c>
    </row>
    <row r="18">
      <c r="A18" s="7">
        <f t="shared" si="1"/>
        <v>13</v>
      </c>
    </row>
    <row r="19">
      <c r="A19" s="7">
        <f t="shared" si="1"/>
        <v>14</v>
      </c>
      <c r="B19" s="15" t="s">
        <v>29</v>
      </c>
      <c r="C19" s="15" t="s">
        <v>30</v>
      </c>
      <c r="D19" s="15" t="s">
        <v>31</v>
      </c>
      <c r="E19" s="15" t="s">
        <v>32</v>
      </c>
      <c r="F19" s="15"/>
    </row>
    <row r="20">
      <c r="A20" s="7">
        <f t="shared" si="1"/>
        <v>15</v>
      </c>
      <c r="B20" s="15" t="s">
        <v>33</v>
      </c>
      <c r="C20" s="16">
        <v>487000.0</v>
      </c>
      <c r="D20" s="16">
        <v>156000.0</v>
      </c>
      <c r="E20" s="15" t="s">
        <v>34</v>
      </c>
      <c r="F20" s="15"/>
    </row>
    <row r="21">
      <c r="A21" s="7">
        <f t="shared" si="1"/>
        <v>16</v>
      </c>
      <c r="B21" s="15" t="s">
        <v>35</v>
      </c>
      <c r="C21" s="16">
        <v>1633000.0</v>
      </c>
      <c r="D21" s="16">
        <v>518000.0</v>
      </c>
      <c r="E21" s="15" t="s">
        <v>36</v>
      </c>
      <c r="F21" s="15"/>
    </row>
    <row r="22">
      <c r="A22" s="7">
        <f t="shared" si="1"/>
        <v>17</v>
      </c>
    </row>
    <row r="23">
      <c r="A23" s="7">
        <f t="shared" si="1"/>
        <v>18</v>
      </c>
      <c r="B23" s="8" t="s">
        <v>37</v>
      </c>
      <c r="D23" s="12" t="s">
        <v>38</v>
      </c>
    </row>
    <row r="24">
      <c r="A24" s="7">
        <f t="shared" si="1"/>
        <v>19</v>
      </c>
    </row>
    <row r="25">
      <c r="A25" s="7">
        <f t="shared" si="1"/>
        <v>20</v>
      </c>
      <c r="B25" s="8" t="s">
        <v>39</v>
      </c>
    </row>
    <row r="26">
      <c r="A26" s="7">
        <f t="shared" si="1"/>
        <v>21</v>
      </c>
      <c r="B26" s="12" t="s">
        <v>40</v>
      </c>
    </row>
    <row r="27">
      <c r="A27" s="7">
        <f t="shared" si="1"/>
        <v>22</v>
      </c>
      <c r="B27" s="8" t="s">
        <v>41</v>
      </c>
    </row>
    <row r="28">
      <c r="A28" s="7">
        <f t="shared" si="1"/>
        <v>23</v>
      </c>
      <c r="C28" s="8" t="s">
        <v>42</v>
      </c>
      <c r="D28" s="8" t="s">
        <v>43</v>
      </c>
    </row>
    <row r="29">
      <c r="A29" s="7">
        <f t="shared" si="1"/>
        <v>24</v>
      </c>
    </row>
    <row r="30">
      <c r="A30" s="7">
        <f t="shared" si="1"/>
        <v>25</v>
      </c>
    </row>
    <row r="31">
      <c r="A31" s="7">
        <f t="shared" si="1"/>
        <v>26</v>
      </c>
      <c r="B31" s="8" t="s">
        <v>44</v>
      </c>
    </row>
    <row r="32">
      <c r="A32" s="7">
        <f t="shared" si="1"/>
        <v>27</v>
      </c>
    </row>
    <row r="33">
      <c r="A33" s="7">
        <f t="shared" si="1"/>
        <v>28</v>
      </c>
    </row>
    <row r="34">
      <c r="A34" s="7">
        <f t="shared" si="1"/>
        <v>29</v>
      </c>
      <c r="B34" s="8" t="s">
        <v>45</v>
      </c>
      <c r="D34" s="12" t="s">
        <v>46</v>
      </c>
      <c r="E34" s="8" t="s">
        <v>47</v>
      </c>
      <c r="F34" s="8" t="s">
        <v>48</v>
      </c>
      <c r="G34" s="8" t="s">
        <v>49</v>
      </c>
      <c r="H34" s="8" t="s">
        <v>50</v>
      </c>
    </row>
    <row r="35">
      <c r="A35" s="7">
        <f t="shared" si="1"/>
        <v>30</v>
      </c>
      <c r="C35" s="8" t="s">
        <v>51</v>
      </c>
      <c r="E35" s="8">
        <v>2025.0</v>
      </c>
      <c r="F35" s="17">
        <f t="shared" ref="F35:F40" si="2">sum(G35:H35)</f>
        <v>82</v>
      </c>
      <c r="G35" s="8">
        <v>44.0</v>
      </c>
      <c r="H35" s="8">
        <v>38.0</v>
      </c>
    </row>
    <row r="36">
      <c r="A36" s="7">
        <f t="shared" si="1"/>
        <v>31</v>
      </c>
      <c r="C36" s="18" t="s">
        <v>52</v>
      </c>
      <c r="D36" s="8" t="s">
        <v>53</v>
      </c>
      <c r="E36" s="8">
        <v>2026.0</v>
      </c>
      <c r="F36" s="17">
        <f t="shared" si="2"/>
        <v>102</v>
      </c>
      <c r="G36" s="8">
        <v>62.0</v>
      </c>
      <c r="H36" s="8">
        <v>40.0</v>
      </c>
    </row>
    <row r="37">
      <c r="A37" s="7">
        <f t="shared" si="1"/>
        <v>32</v>
      </c>
      <c r="E37" s="8">
        <v>2027.0</v>
      </c>
      <c r="F37" s="17">
        <f t="shared" si="2"/>
        <v>128</v>
      </c>
      <c r="G37" s="8">
        <v>83.0</v>
      </c>
      <c r="H37" s="8">
        <v>45.0</v>
      </c>
    </row>
    <row r="38">
      <c r="A38" s="7">
        <f t="shared" si="1"/>
        <v>33</v>
      </c>
      <c r="E38" s="8">
        <v>2028.0</v>
      </c>
      <c r="F38" s="17">
        <f t="shared" si="2"/>
        <v>152</v>
      </c>
      <c r="G38" s="8">
        <v>102.0</v>
      </c>
      <c r="H38" s="8">
        <v>50.0</v>
      </c>
    </row>
    <row r="39">
      <c r="A39" s="7">
        <f t="shared" si="1"/>
        <v>34</v>
      </c>
      <c r="E39" s="8">
        <v>2029.0</v>
      </c>
      <c r="F39" s="17">
        <f t="shared" si="2"/>
        <v>180</v>
      </c>
      <c r="G39" s="8">
        <v>124.0</v>
      </c>
      <c r="H39" s="8">
        <v>56.0</v>
      </c>
    </row>
    <row r="40">
      <c r="A40" s="7">
        <f t="shared" si="1"/>
        <v>35</v>
      </c>
      <c r="E40" s="8">
        <v>2030.0</v>
      </c>
      <c r="F40" s="17">
        <f t="shared" si="2"/>
        <v>220</v>
      </c>
      <c r="G40" s="8">
        <v>156.0</v>
      </c>
      <c r="H40" s="8">
        <v>64.0</v>
      </c>
    </row>
    <row r="41">
      <c r="A41" s="7">
        <f t="shared" si="1"/>
        <v>36</v>
      </c>
      <c r="C41" s="8" t="s">
        <v>54</v>
      </c>
    </row>
    <row r="42">
      <c r="A42" s="7">
        <f t="shared" si="1"/>
        <v>37</v>
      </c>
      <c r="E42" s="8" t="s">
        <v>55</v>
      </c>
      <c r="F42" s="8" t="s">
        <v>56</v>
      </c>
      <c r="G42" s="8" t="s">
        <v>57</v>
      </c>
    </row>
    <row r="43">
      <c r="A43" s="7">
        <f t="shared" si="1"/>
        <v>38</v>
      </c>
      <c r="E43" s="8" t="s">
        <v>58</v>
      </c>
      <c r="F43" s="13">
        <v>0.15</v>
      </c>
      <c r="G43" s="8" t="s">
        <v>59</v>
      </c>
    </row>
    <row r="44">
      <c r="A44" s="7">
        <f t="shared" si="1"/>
        <v>39</v>
      </c>
      <c r="E44" s="8" t="s">
        <v>60</v>
      </c>
      <c r="F44" s="13">
        <v>0.25</v>
      </c>
      <c r="G44" s="8" t="s">
        <v>61</v>
      </c>
    </row>
    <row r="45">
      <c r="A45" s="7">
        <f t="shared" si="1"/>
        <v>40</v>
      </c>
      <c r="E45" s="8" t="s">
        <v>62</v>
      </c>
      <c r="F45" s="13">
        <v>0.6</v>
      </c>
      <c r="G45" s="8" t="s">
        <v>63</v>
      </c>
    </row>
    <row r="46">
      <c r="A46" s="7">
        <f t="shared" si="1"/>
        <v>41</v>
      </c>
      <c r="B46" s="8" t="s">
        <v>64</v>
      </c>
      <c r="C46" s="8" t="s">
        <v>65</v>
      </c>
      <c r="D46" s="12" t="s">
        <v>66</v>
      </c>
    </row>
    <row r="47">
      <c r="A47" s="7">
        <f t="shared" si="1"/>
        <v>42</v>
      </c>
      <c r="B47" s="8" t="s">
        <v>67</v>
      </c>
      <c r="C47" s="8">
        <v>3800.0</v>
      </c>
      <c r="D47" s="12" t="s">
        <v>68</v>
      </c>
    </row>
    <row r="48">
      <c r="A48" s="7">
        <f t="shared" si="1"/>
        <v>43</v>
      </c>
    </row>
    <row r="49">
      <c r="A49" s="7">
        <f t="shared" si="1"/>
        <v>44</v>
      </c>
    </row>
    <row r="50">
      <c r="A50" s="7">
        <f t="shared" si="1"/>
        <v>45</v>
      </c>
    </row>
    <row r="51">
      <c r="A51" s="7">
        <f t="shared" si="1"/>
        <v>46</v>
      </c>
    </row>
    <row r="52">
      <c r="A52" s="7">
        <f t="shared" si="1"/>
        <v>47</v>
      </c>
    </row>
    <row r="53">
      <c r="A53" s="7">
        <f t="shared" si="1"/>
        <v>48</v>
      </c>
      <c r="G53" s="19" t="s">
        <v>69</v>
      </c>
      <c r="H53" s="20"/>
      <c r="I53" s="20"/>
      <c r="J53" s="20"/>
      <c r="K53" s="20"/>
    </row>
    <row r="54">
      <c r="A54" s="7">
        <f t="shared" si="1"/>
        <v>49</v>
      </c>
    </row>
    <row r="55">
      <c r="A55" s="7">
        <f t="shared" si="1"/>
        <v>50</v>
      </c>
      <c r="B55" s="8" t="s">
        <v>70</v>
      </c>
      <c r="F55" s="8" t="s">
        <v>71</v>
      </c>
      <c r="G55" s="8" t="s">
        <v>72</v>
      </c>
      <c r="H55" s="8" t="s">
        <v>73</v>
      </c>
    </row>
    <row r="56">
      <c r="A56" s="7">
        <f t="shared" si="1"/>
        <v>51</v>
      </c>
      <c r="B56" s="8" t="s">
        <v>74</v>
      </c>
      <c r="C56" s="8" t="s">
        <v>75</v>
      </c>
      <c r="D56" s="12" t="s">
        <v>76</v>
      </c>
      <c r="E56" s="8">
        <v>2025.0</v>
      </c>
      <c r="F56" s="17">
        <f t="shared" ref="F56:F73" si="3">G56</f>
        <v>1800000000</v>
      </c>
      <c r="G56" s="8">
        <f>1.8*H56</f>
        <v>1800000000</v>
      </c>
      <c r="H56" s="21">
        <v>1.0E9</v>
      </c>
    </row>
    <row r="57">
      <c r="A57" s="7">
        <f t="shared" si="1"/>
        <v>52</v>
      </c>
      <c r="B57" s="8" t="s">
        <v>77</v>
      </c>
      <c r="C57" s="8" t="s">
        <v>78</v>
      </c>
      <c r="D57" s="12" t="s">
        <v>79</v>
      </c>
      <c r="E57" s="8">
        <v>2025.0</v>
      </c>
      <c r="F57" s="17">
        <f t="shared" si="3"/>
        <v>3700000000</v>
      </c>
      <c r="G57" s="17">
        <f>3.7*H57</f>
        <v>3700000000</v>
      </c>
      <c r="H57" s="21">
        <v>1.0E9</v>
      </c>
    </row>
    <row r="58">
      <c r="A58" s="7">
        <f t="shared" si="1"/>
        <v>53</v>
      </c>
      <c r="B58" s="8" t="s">
        <v>80</v>
      </c>
      <c r="C58" s="8" t="s">
        <v>81</v>
      </c>
      <c r="D58" s="12" t="s">
        <v>82</v>
      </c>
      <c r="E58" s="8">
        <v>2025.0</v>
      </c>
      <c r="F58" s="17">
        <f t="shared" si="3"/>
        <v>98700000000</v>
      </c>
      <c r="G58" s="17">
        <f>98.7*H58</f>
        <v>98700000000</v>
      </c>
      <c r="H58" s="21">
        <v>1.0E9</v>
      </c>
    </row>
    <row r="59">
      <c r="A59" s="7">
        <f t="shared" si="1"/>
        <v>54</v>
      </c>
      <c r="B59" s="8" t="s">
        <v>83</v>
      </c>
      <c r="C59" s="8" t="s">
        <v>84</v>
      </c>
      <c r="E59" s="8">
        <v>2025.0</v>
      </c>
      <c r="F59" s="17">
        <f t="shared" si="3"/>
        <v>3700000000</v>
      </c>
      <c r="G59" s="8">
        <f>3.7*H59</f>
        <v>3700000000</v>
      </c>
      <c r="H59" s="21">
        <v>1.0E9</v>
      </c>
    </row>
    <row r="60">
      <c r="A60" s="7">
        <f t="shared" si="1"/>
        <v>55</v>
      </c>
      <c r="B60" s="8" t="s">
        <v>85</v>
      </c>
      <c r="C60" s="8" t="s">
        <v>86</v>
      </c>
      <c r="E60" s="8">
        <v>2025.0</v>
      </c>
      <c r="F60" s="17">
        <f t="shared" si="3"/>
        <v>342000000000</v>
      </c>
      <c r="G60" s="17">
        <f>342*H60</f>
        <v>342000000000</v>
      </c>
      <c r="H60" s="21">
        <v>1.0E9</v>
      </c>
    </row>
    <row r="61">
      <c r="A61" s="7">
        <f t="shared" si="1"/>
        <v>56</v>
      </c>
      <c r="B61" s="8" t="s">
        <v>87</v>
      </c>
      <c r="C61" s="22" t="s">
        <v>88</v>
      </c>
      <c r="D61" s="12" t="s">
        <v>89</v>
      </c>
      <c r="E61" s="8">
        <v>2025.0</v>
      </c>
      <c r="F61" s="17">
        <f t="shared" si="3"/>
        <v>192000000000</v>
      </c>
      <c r="G61" s="17">
        <f>192*H61</f>
        <v>192000000000</v>
      </c>
      <c r="H61" s="21">
        <v>1.0E9</v>
      </c>
    </row>
    <row r="62">
      <c r="A62" s="7">
        <f t="shared" si="1"/>
        <v>57</v>
      </c>
      <c r="B62" s="23" t="s">
        <v>90</v>
      </c>
      <c r="C62" s="24" t="s">
        <v>91</v>
      </c>
      <c r="D62" s="18" t="s">
        <v>92</v>
      </c>
      <c r="E62" s="8">
        <v>2025.0</v>
      </c>
      <c r="F62" s="17">
        <f t="shared" si="3"/>
        <v>144000000000</v>
      </c>
      <c r="G62" s="17">
        <f>144*H62</f>
        <v>144000000000</v>
      </c>
      <c r="H62" s="21">
        <v>1.0E9</v>
      </c>
    </row>
    <row r="63">
      <c r="A63" s="7">
        <f t="shared" si="1"/>
        <v>58</v>
      </c>
      <c r="B63" s="23" t="s">
        <v>93</v>
      </c>
      <c r="C63" s="24" t="s">
        <v>94</v>
      </c>
      <c r="D63" s="24" t="s">
        <v>95</v>
      </c>
      <c r="E63" s="8">
        <v>2025.0</v>
      </c>
      <c r="F63" s="17">
        <f t="shared" si="3"/>
        <v>138000000000</v>
      </c>
      <c r="G63" s="17">
        <f>138*H63</f>
        <v>138000000000</v>
      </c>
      <c r="H63" s="21">
        <v>1.0E9</v>
      </c>
    </row>
    <row r="64">
      <c r="A64" s="7">
        <f t="shared" si="1"/>
        <v>59</v>
      </c>
      <c r="B64" s="23" t="s">
        <v>96</v>
      </c>
      <c r="C64" s="24" t="s">
        <v>97</v>
      </c>
      <c r="D64" s="12" t="s">
        <v>98</v>
      </c>
      <c r="E64" s="8">
        <v>2025.0</v>
      </c>
      <c r="F64" s="17">
        <f t="shared" si="3"/>
        <v>216000000000</v>
      </c>
      <c r="G64" s="17">
        <f>216*H64</f>
        <v>216000000000</v>
      </c>
      <c r="H64" s="21">
        <v>1.0E9</v>
      </c>
    </row>
    <row r="65">
      <c r="A65" s="7">
        <f t="shared" si="1"/>
        <v>60</v>
      </c>
      <c r="B65" s="23" t="s">
        <v>99</v>
      </c>
      <c r="C65" s="24" t="s">
        <v>100</v>
      </c>
      <c r="D65" s="12" t="s">
        <v>101</v>
      </c>
      <c r="E65" s="8">
        <v>2025.0</v>
      </c>
      <c r="F65" s="17">
        <f t="shared" si="3"/>
        <v>29400000000</v>
      </c>
      <c r="G65" s="17">
        <f>29.4*H65</f>
        <v>29400000000</v>
      </c>
      <c r="H65" s="21">
        <v>1.0E9</v>
      </c>
    </row>
    <row r="66">
      <c r="A66" s="7">
        <f t="shared" si="1"/>
        <v>61</v>
      </c>
      <c r="B66" s="23" t="s">
        <v>102</v>
      </c>
      <c r="C66" s="24" t="s">
        <v>103</v>
      </c>
      <c r="D66" s="12" t="s">
        <v>104</v>
      </c>
      <c r="E66" s="8">
        <v>2025.0</v>
      </c>
      <c r="F66" s="17">
        <f t="shared" si="3"/>
        <v>215000000000</v>
      </c>
      <c r="G66" s="17">
        <f>215*H66</f>
        <v>215000000000</v>
      </c>
      <c r="H66" s="21">
        <v>1.0E9</v>
      </c>
    </row>
    <row r="67">
      <c r="A67" s="7">
        <f t="shared" si="1"/>
        <v>62</v>
      </c>
      <c r="B67" s="23" t="s">
        <v>105</v>
      </c>
      <c r="C67" s="24" t="s">
        <v>106</v>
      </c>
      <c r="D67" s="12" t="s">
        <v>107</v>
      </c>
      <c r="E67" s="8">
        <v>2025.0</v>
      </c>
      <c r="F67" s="17">
        <f t="shared" si="3"/>
        <v>97700000000</v>
      </c>
      <c r="G67" s="17">
        <f>97.7*H67</f>
        <v>97700000000</v>
      </c>
      <c r="H67" s="21">
        <v>1.0E9</v>
      </c>
    </row>
    <row r="68">
      <c r="A68" s="7">
        <f t="shared" si="1"/>
        <v>63</v>
      </c>
      <c r="B68" s="8" t="s">
        <v>108</v>
      </c>
      <c r="F68" s="17" t="str">
        <f t="shared" si="3"/>
        <v/>
      </c>
    </row>
    <row r="69">
      <c r="A69" s="7">
        <f t="shared" si="1"/>
        <v>64</v>
      </c>
      <c r="B69" s="8" t="s">
        <v>109</v>
      </c>
      <c r="C69" s="22">
        <v>63180.0</v>
      </c>
      <c r="D69" s="12" t="s">
        <v>110</v>
      </c>
      <c r="E69" s="17">
        <f>1215*52</f>
        <v>63180</v>
      </c>
      <c r="F69" s="17" t="str">
        <f t="shared" si="3"/>
        <v/>
      </c>
    </row>
    <row r="70">
      <c r="A70" s="7">
        <f t="shared" si="1"/>
        <v>65</v>
      </c>
      <c r="B70" s="8" t="s">
        <v>111</v>
      </c>
      <c r="C70" s="22">
        <v>192900.0</v>
      </c>
      <c r="D70" s="12" t="s">
        <v>112</v>
      </c>
      <c r="E70" s="25">
        <v>44986.0</v>
      </c>
      <c r="F70" s="17" t="str">
        <f t="shared" si="3"/>
        <v/>
      </c>
    </row>
    <row r="71">
      <c r="A71" s="7">
        <f t="shared" si="1"/>
        <v>66</v>
      </c>
      <c r="F71" s="17" t="str">
        <f t="shared" si="3"/>
        <v/>
      </c>
    </row>
    <row r="72">
      <c r="A72" s="7">
        <f t="shared" si="1"/>
        <v>67</v>
      </c>
      <c r="F72" s="17" t="str">
        <f t="shared" si="3"/>
        <v/>
      </c>
    </row>
    <row r="73">
      <c r="A73" s="7">
        <f t="shared" si="1"/>
        <v>68</v>
      </c>
      <c r="F73" s="17" t="str">
        <f t="shared" si="3"/>
        <v/>
      </c>
    </row>
    <row r="76">
      <c r="A76" s="3"/>
      <c r="B76" s="3"/>
      <c r="C76" s="3"/>
      <c r="D76" s="3"/>
      <c r="E76" s="3"/>
    </row>
    <row r="77">
      <c r="A77" s="4"/>
      <c r="B77" s="4" t="s">
        <v>113</v>
      </c>
      <c r="C77" s="3"/>
      <c r="D77" s="3"/>
      <c r="E77" s="3"/>
    </row>
    <row r="78">
      <c r="A78" s="3"/>
      <c r="B78" s="3"/>
      <c r="C78" s="3"/>
      <c r="D78" s="3"/>
      <c r="E78" s="3"/>
    </row>
    <row r="79">
      <c r="A79" s="26" t="s">
        <v>3</v>
      </c>
      <c r="B79" s="26" t="s">
        <v>4</v>
      </c>
      <c r="C79" s="26" t="s">
        <v>114</v>
      </c>
      <c r="D79" s="26" t="s">
        <v>6</v>
      </c>
    </row>
    <row r="80">
      <c r="A80" s="17">
        <f t="shared" ref="A80:A88" si="4">row(A80)-80</f>
        <v>0</v>
      </c>
      <c r="B80" s="8" t="s">
        <v>8</v>
      </c>
      <c r="C80" s="12" t="s">
        <v>115</v>
      </c>
      <c r="D80" s="9" t="s">
        <v>116</v>
      </c>
    </row>
    <row r="81">
      <c r="A81" s="17">
        <f t="shared" si="4"/>
        <v>1</v>
      </c>
      <c r="B81" s="11" t="s">
        <v>117</v>
      </c>
      <c r="C81" s="12" t="s">
        <v>118</v>
      </c>
      <c r="D81" s="27" t="s">
        <v>119</v>
      </c>
    </row>
    <row r="82">
      <c r="A82" s="17">
        <f t="shared" si="4"/>
        <v>2</v>
      </c>
      <c r="B82" s="8" t="s">
        <v>13</v>
      </c>
      <c r="C82" s="12" t="s">
        <v>120</v>
      </c>
    </row>
    <row r="83">
      <c r="A83" s="17">
        <f t="shared" si="4"/>
        <v>3</v>
      </c>
      <c r="B83" s="11" t="s">
        <v>15</v>
      </c>
      <c r="C83" s="12" t="s">
        <v>121</v>
      </c>
    </row>
    <row r="84">
      <c r="A84" s="17">
        <f t="shared" si="4"/>
        <v>4</v>
      </c>
      <c r="B84" s="8" t="s">
        <v>18</v>
      </c>
    </row>
    <row r="85">
      <c r="A85" s="17">
        <f t="shared" si="4"/>
        <v>5</v>
      </c>
      <c r="B85" s="8" t="s">
        <v>20</v>
      </c>
      <c r="C85" s="12" t="s">
        <v>122</v>
      </c>
    </row>
    <row r="86">
      <c r="A86" s="17">
        <f t="shared" si="4"/>
        <v>6</v>
      </c>
      <c r="B86" s="8" t="s">
        <v>22</v>
      </c>
      <c r="C86" s="12" t="s">
        <v>123</v>
      </c>
    </row>
    <row r="87">
      <c r="A87" s="17">
        <f t="shared" si="4"/>
        <v>7</v>
      </c>
      <c r="B87" s="8" t="s">
        <v>23</v>
      </c>
      <c r="C87" s="12" t="s">
        <v>124</v>
      </c>
    </row>
    <row r="88">
      <c r="A88" s="17">
        <f t="shared" si="4"/>
        <v>8</v>
      </c>
      <c r="B88" s="8" t="s">
        <v>24</v>
      </c>
      <c r="C88" s="12" t="s">
        <v>125</v>
      </c>
    </row>
    <row r="115">
      <c r="B115" s="8" t="s">
        <v>126</v>
      </c>
      <c r="D115" s="12" t="s">
        <v>127</v>
      </c>
    </row>
    <row r="116">
      <c r="D116" s="28" t="s">
        <v>128</v>
      </c>
      <c r="E116" s="28" t="s">
        <v>129</v>
      </c>
      <c r="F116" s="28" t="s">
        <v>130</v>
      </c>
      <c r="G116" s="29" t="s">
        <v>131</v>
      </c>
    </row>
    <row r="117">
      <c r="G117" s="28" t="s">
        <v>132</v>
      </c>
      <c r="H117" s="28" t="s">
        <v>133</v>
      </c>
      <c r="I117" s="28" t="s">
        <v>134</v>
      </c>
      <c r="J117" s="28" t="s">
        <v>135</v>
      </c>
      <c r="K117" s="28" t="s">
        <v>136</v>
      </c>
      <c r="L117" s="28" t="s">
        <v>137</v>
      </c>
      <c r="M117" s="28" t="s">
        <v>138</v>
      </c>
    </row>
    <row r="118">
      <c r="D118" s="30" t="s">
        <v>139</v>
      </c>
      <c r="E118" s="30" t="s">
        <v>140</v>
      </c>
      <c r="F118" s="30" t="s">
        <v>141</v>
      </c>
      <c r="G118" s="30">
        <v>0.41</v>
      </c>
      <c r="H118" s="30">
        <v>0.39</v>
      </c>
      <c r="I118" s="30">
        <v>0.34</v>
      </c>
      <c r="J118" s="30">
        <v>0.35</v>
      </c>
      <c r="K118" s="30">
        <v>0.26</v>
      </c>
      <c r="L118" s="30">
        <v>0.19</v>
      </c>
      <c r="M118" s="30">
        <v>0.16</v>
      </c>
    </row>
    <row r="119">
      <c r="D119" s="31" t="s">
        <v>142</v>
      </c>
      <c r="E119" s="30" t="s">
        <v>143</v>
      </c>
      <c r="F119" s="32" t="s">
        <v>144</v>
      </c>
      <c r="G119" s="30">
        <v>0.99</v>
      </c>
      <c r="H119" s="30">
        <v>0.97</v>
      </c>
      <c r="I119" s="30">
        <v>0.86</v>
      </c>
      <c r="J119" s="30">
        <v>0.86</v>
      </c>
      <c r="K119" s="30">
        <v>0.72</v>
      </c>
      <c r="L119" s="30">
        <v>0.57</v>
      </c>
      <c r="M119" s="30">
        <v>0.51</v>
      </c>
    </row>
    <row r="120">
      <c r="D120" s="31" t="s">
        <v>145</v>
      </c>
      <c r="E120" s="30" t="s">
        <v>143</v>
      </c>
      <c r="F120" s="30" t="s">
        <v>146</v>
      </c>
      <c r="G120" s="30">
        <v>1.28</v>
      </c>
      <c r="H120" s="30">
        <v>1.27</v>
      </c>
      <c r="I120" s="30">
        <v>1.16</v>
      </c>
      <c r="J120" s="30">
        <v>1.13</v>
      </c>
      <c r="K120" s="30">
        <v>1.05</v>
      </c>
      <c r="L120" s="30">
        <v>0.89</v>
      </c>
      <c r="M120" s="30">
        <v>0.82</v>
      </c>
    </row>
  </sheetData>
  <mergeCells count="4">
    <mergeCell ref="D116:D117"/>
    <mergeCell ref="E116:E117"/>
    <mergeCell ref="F116:F117"/>
    <mergeCell ref="G116:M116"/>
  </mergeCells>
  <hyperlinks>
    <hyperlink r:id="rId1" ref="D6"/>
    <hyperlink r:id="rId2" ref="D9"/>
    <hyperlink r:id="rId3" ref="D10"/>
    <hyperlink r:id="rId4" ref="D15"/>
    <hyperlink r:id="rId5" ref="D23"/>
    <hyperlink r:id="rId6" ref="B26"/>
    <hyperlink r:id="rId7" ref="D34"/>
    <hyperlink r:id="rId8" ref="C36"/>
    <hyperlink r:id="rId9" ref="D46"/>
    <hyperlink r:id="rId10" ref="D47"/>
    <hyperlink r:id="rId11" ref="D56"/>
    <hyperlink r:id="rId12" ref="D57"/>
    <hyperlink r:id="rId13" ref="D58"/>
    <hyperlink r:id="rId14" ref="D61"/>
    <hyperlink r:id="rId15" ref="D62"/>
    <hyperlink r:id="rId16" ref="D64"/>
    <hyperlink r:id="rId17" ref="D65"/>
    <hyperlink r:id="rId18" ref="D66"/>
    <hyperlink r:id="rId19" ref="D67"/>
    <hyperlink r:id="rId20" ref="D69"/>
    <hyperlink r:id="rId21" ref="D70"/>
    <hyperlink r:id="rId22" ref="C80"/>
    <hyperlink r:id="rId23" ref="D80"/>
    <hyperlink r:id="rId24" ref="C81"/>
    <hyperlink r:id="rId25" ref="C82"/>
    <hyperlink r:id="rId26" ref="C83"/>
    <hyperlink r:id="rId27" ref="C85"/>
    <hyperlink r:id="rId28" ref="C86"/>
    <hyperlink r:id="rId29" ref="C87"/>
    <hyperlink r:id="rId30" ref="C88"/>
    <hyperlink r:id="rId31" ref="D115"/>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c r="B1" s="33" t="s">
        <v>147</v>
      </c>
      <c r="C1" s="34"/>
      <c r="D1" s="34"/>
      <c r="E1" s="34"/>
    </row>
    <row r="2">
      <c r="A2" s="35"/>
      <c r="B2" s="35"/>
      <c r="C2" s="35"/>
      <c r="D2" s="35"/>
      <c r="E2" s="35"/>
    </row>
    <row r="3">
      <c r="A3" s="36"/>
      <c r="B3" s="36" t="s">
        <v>1</v>
      </c>
      <c r="C3" s="35"/>
      <c r="D3" s="35"/>
      <c r="E3" s="37" t="s">
        <v>2</v>
      </c>
    </row>
    <row r="4">
      <c r="A4" s="35"/>
      <c r="B4" s="35"/>
      <c r="C4" s="35"/>
      <c r="D4" s="35"/>
      <c r="E4" s="35"/>
      <c r="T4" s="8" t="s">
        <v>148</v>
      </c>
      <c r="U4" s="12" t="s">
        <v>149</v>
      </c>
    </row>
    <row r="5">
      <c r="A5" s="38" t="s">
        <v>3</v>
      </c>
      <c r="B5" s="38" t="s">
        <v>4</v>
      </c>
      <c r="C5" s="38" t="s">
        <v>5</v>
      </c>
      <c r="D5" s="38" t="s">
        <v>6</v>
      </c>
      <c r="E5" s="38" t="s">
        <v>7</v>
      </c>
    </row>
    <row r="6">
      <c r="A6" s="39">
        <f>row(A6)-5</f>
        <v>1</v>
      </c>
      <c r="B6" s="11" t="s">
        <v>150</v>
      </c>
      <c r="C6" s="21">
        <v>1.352733547E9</v>
      </c>
      <c r="D6" s="12" t="s">
        <v>151</v>
      </c>
      <c r="E6" s="10">
        <v>46030.0</v>
      </c>
    </row>
    <row r="7">
      <c r="A7" s="39">
        <v>2.0</v>
      </c>
      <c r="B7" s="11" t="s">
        <v>152</v>
      </c>
      <c r="C7" s="8" t="s">
        <v>153</v>
      </c>
      <c r="D7" s="12" t="s">
        <v>154</v>
      </c>
      <c r="E7" s="10">
        <v>46030.0</v>
      </c>
    </row>
    <row r="8">
      <c r="A8" s="39">
        <f t="shared" ref="A8:A32" si="1">row(A8)-5</f>
        <v>3</v>
      </c>
      <c r="B8" s="11" t="s">
        <v>155</v>
      </c>
      <c r="C8" s="8" t="s">
        <v>12</v>
      </c>
      <c r="D8" s="8" t="s">
        <v>12</v>
      </c>
    </row>
    <row r="9">
      <c r="A9" s="39">
        <f t="shared" si="1"/>
        <v>4</v>
      </c>
      <c r="B9" s="11" t="s">
        <v>156</v>
      </c>
      <c r="C9" s="8" t="s">
        <v>12</v>
      </c>
      <c r="D9" s="8" t="s">
        <v>12</v>
      </c>
    </row>
    <row r="10">
      <c r="A10" s="39">
        <f t="shared" si="1"/>
        <v>5</v>
      </c>
      <c r="B10" s="8" t="s">
        <v>157</v>
      </c>
      <c r="C10" s="13">
        <v>0.33</v>
      </c>
      <c r="D10" s="12" t="s">
        <v>158</v>
      </c>
      <c r="E10" s="40">
        <v>45750.0</v>
      </c>
    </row>
    <row r="11">
      <c r="A11" s="39">
        <f t="shared" si="1"/>
        <v>6</v>
      </c>
      <c r="B11" s="8" t="s">
        <v>159</v>
      </c>
      <c r="C11" s="13">
        <v>0.28</v>
      </c>
      <c r="D11" s="12" t="s">
        <v>160</v>
      </c>
      <c r="E11" s="40">
        <v>46000.0</v>
      </c>
    </row>
    <row r="12">
      <c r="A12" s="39">
        <f t="shared" si="1"/>
        <v>7</v>
      </c>
      <c r="B12" s="8" t="s">
        <v>161</v>
      </c>
    </row>
    <row r="13">
      <c r="A13" s="39">
        <f t="shared" si="1"/>
        <v>8</v>
      </c>
      <c r="B13" s="8" t="s">
        <v>162</v>
      </c>
      <c r="C13" s="17">
        <v>75.1872</v>
      </c>
      <c r="D13" s="8"/>
      <c r="E13" s="40">
        <v>45922.0</v>
      </c>
    </row>
    <row r="14">
      <c r="A14" s="39">
        <f t="shared" si="1"/>
        <v>9</v>
      </c>
      <c r="B14" s="8" t="s">
        <v>163</v>
      </c>
      <c r="C14" s="41">
        <v>0.2816</v>
      </c>
      <c r="D14" s="12" t="s">
        <v>164</v>
      </c>
      <c r="E14" s="40">
        <v>45922.0</v>
      </c>
    </row>
    <row r="15">
      <c r="A15" s="39">
        <f t="shared" si="1"/>
        <v>10</v>
      </c>
      <c r="B15" s="8" t="s">
        <v>165</v>
      </c>
      <c r="D15" s="12" t="s">
        <v>166</v>
      </c>
    </row>
    <row r="16">
      <c r="A16" s="39">
        <f t="shared" si="1"/>
        <v>11</v>
      </c>
      <c r="B16" s="8" t="s">
        <v>167</v>
      </c>
      <c r="C16" s="8" t="s">
        <v>168</v>
      </c>
      <c r="D16" s="12" t="s">
        <v>169</v>
      </c>
    </row>
    <row r="17">
      <c r="A17" s="39">
        <f t="shared" si="1"/>
        <v>12</v>
      </c>
      <c r="B17" s="8" t="s">
        <v>170</v>
      </c>
      <c r="C17" s="13">
        <v>0.42</v>
      </c>
      <c r="D17" s="12" t="s">
        <v>171</v>
      </c>
      <c r="E17" s="25">
        <v>45931.0</v>
      </c>
    </row>
    <row r="18">
      <c r="A18" s="39">
        <f t="shared" si="1"/>
        <v>13</v>
      </c>
      <c r="B18" s="8" t="s">
        <v>172</v>
      </c>
      <c r="C18" s="13">
        <v>0.42</v>
      </c>
      <c r="D18" s="12" t="s">
        <v>173</v>
      </c>
      <c r="E18" s="25">
        <v>45932.0</v>
      </c>
    </row>
    <row r="19">
      <c r="A19" s="39">
        <f t="shared" si="1"/>
        <v>14</v>
      </c>
      <c r="B19" s="8" t="s">
        <v>174</v>
      </c>
      <c r="C19" s="13">
        <v>0.42</v>
      </c>
      <c r="D19" s="12" t="s">
        <v>175</v>
      </c>
      <c r="E19" s="25">
        <v>45933.0</v>
      </c>
    </row>
    <row r="20">
      <c r="A20" s="39">
        <f t="shared" si="1"/>
        <v>15</v>
      </c>
      <c r="B20" s="8" t="s">
        <v>176</v>
      </c>
      <c r="C20" s="13">
        <v>0.19</v>
      </c>
      <c r="D20" s="12" t="s">
        <v>177</v>
      </c>
      <c r="E20" s="25">
        <v>45934.0</v>
      </c>
    </row>
    <row r="21">
      <c r="A21" s="39">
        <f t="shared" si="1"/>
        <v>16</v>
      </c>
      <c r="B21" s="8" t="s">
        <v>178</v>
      </c>
      <c r="C21" s="13"/>
      <c r="D21" s="12" t="s">
        <v>158</v>
      </c>
      <c r="E21" s="40">
        <v>45750.0</v>
      </c>
    </row>
    <row r="22">
      <c r="A22" s="39">
        <f t="shared" si="1"/>
        <v>17</v>
      </c>
      <c r="B22" s="8" t="s">
        <v>179</v>
      </c>
      <c r="C22" s="13">
        <v>0.59</v>
      </c>
      <c r="D22" s="12" t="s">
        <v>180</v>
      </c>
      <c r="E22" s="40">
        <v>45750.0</v>
      </c>
    </row>
    <row r="23">
      <c r="A23" s="39">
        <f t="shared" si="1"/>
        <v>18</v>
      </c>
      <c r="B23" s="8" t="s">
        <v>181</v>
      </c>
      <c r="C23" s="13">
        <v>0.27</v>
      </c>
      <c r="D23" s="12" t="s">
        <v>182</v>
      </c>
      <c r="E23" s="40">
        <v>45750.0</v>
      </c>
    </row>
    <row r="24">
      <c r="A24" s="39">
        <f t="shared" si="1"/>
        <v>19</v>
      </c>
      <c r="B24" s="8" t="s">
        <v>183</v>
      </c>
      <c r="C24" s="13">
        <v>0.14</v>
      </c>
      <c r="D24" s="12" t="s">
        <v>184</v>
      </c>
      <c r="E24" s="40">
        <v>45750.0</v>
      </c>
    </row>
    <row r="25">
      <c r="A25" s="39">
        <f t="shared" si="1"/>
        <v>20</v>
      </c>
      <c r="B25" s="42" t="s">
        <v>185</v>
      </c>
      <c r="C25" s="43">
        <v>0.55</v>
      </c>
      <c r="D25" s="12" t="s">
        <v>186</v>
      </c>
      <c r="E25" s="40">
        <v>45750.0</v>
      </c>
    </row>
    <row r="26">
      <c r="A26" s="39">
        <f t="shared" si="1"/>
        <v>21</v>
      </c>
      <c r="B26" s="8" t="s">
        <v>187</v>
      </c>
    </row>
    <row r="27">
      <c r="A27" s="39">
        <f t="shared" si="1"/>
        <v>22</v>
      </c>
      <c r="B27" s="8" t="s">
        <v>188</v>
      </c>
      <c r="C27" s="8" t="s">
        <v>189</v>
      </c>
      <c r="D27" s="8" t="s">
        <v>190</v>
      </c>
      <c r="F27" s="18" t="s">
        <v>191</v>
      </c>
      <c r="G27" s="18" t="s">
        <v>192</v>
      </c>
      <c r="H27" s="8" t="s">
        <v>193</v>
      </c>
    </row>
    <row r="28">
      <c r="A28" s="39">
        <f t="shared" si="1"/>
        <v>23</v>
      </c>
      <c r="B28" s="8">
        <v>2023.0</v>
      </c>
      <c r="C28" s="8">
        <v>100.0</v>
      </c>
      <c r="D28" s="17">
        <f t="shared" ref="D28:D30" si="2">(C28*10^6)/H28</f>
        <v>0.01647771887</v>
      </c>
      <c r="F28" s="44">
        <v>8.09173493E9</v>
      </c>
      <c r="G28" s="8">
        <v>0.75</v>
      </c>
      <c r="H28" s="17">
        <f t="shared" ref="H28:H30" si="3">F28*G28</f>
        <v>6068801198</v>
      </c>
    </row>
    <row r="29">
      <c r="A29" s="39">
        <f t="shared" si="1"/>
        <v>24</v>
      </c>
      <c r="B29" s="8">
        <v>2024.0</v>
      </c>
      <c r="C29" s="8">
        <v>350.0</v>
      </c>
      <c r="D29" s="17">
        <f t="shared" si="2"/>
        <v>0.05717572101</v>
      </c>
      <c r="F29" s="44">
        <v>8.161972572E9</v>
      </c>
      <c r="G29" s="8">
        <v>0.75</v>
      </c>
      <c r="H29" s="17">
        <f t="shared" si="3"/>
        <v>6121479429</v>
      </c>
    </row>
    <row r="30">
      <c r="A30" s="39">
        <f t="shared" si="1"/>
        <v>25</v>
      </c>
      <c r="B30" s="8">
        <v>2025.0</v>
      </c>
      <c r="C30" s="8">
        <v>700.0</v>
      </c>
      <c r="D30" s="17">
        <f t="shared" si="2"/>
        <v>0.1133840142</v>
      </c>
      <c r="F30" s="44">
        <v>8.23161307E9</v>
      </c>
      <c r="G30" s="8">
        <v>0.75</v>
      </c>
      <c r="H30" s="17">
        <f t="shared" si="3"/>
        <v>6173709803</v>
      </c>
    </row>
    <row r="31">
      <c r="A31" s="39">
        <f t="shared" si="1"/>
        <v>26</v>
      </c>
      <c r="B31" s="15" t="s">
        <v>194</v>
      </c>
      <c r="C31" s="16"/>
      <c r="D31" s="16"/>
      <c r="E31" s="15"/>
    </row>
    <row r="32">
      <c r="A32" s="39">
        <f t="shared" si="1"/>
        <v>27</v>
      </c>
      <c r="B32" s="8" t="s">
        <v>195</v>
      </c>
      <c r="C32" s="13">
        <v>0.26</v>
      </c>
      <c r="D32" s="18" t="s">
        <v>196</v>
      </c>
      <c r="E32" s="45">
        <v>45818.0</v>
      </c>
    </row>
    <row r="33">
      <c r="A33" s="39">
        <v>22.0</v>
      </c>
      <c r="D33" s="8" t="s">
        <v>197</v>
      </c>
      <c r="E33" s="8" t="s">
        <v>163</v>
      </c>
      <c r="F33" s="8" t="s">
        <v>198</v>
      </c>
    </row>
    <row r="34">
      <c r="D34" s="17">
        <f>F34*E34</f>
        <v>75.1872</v>
      </c>
      <c r="E34" s="41">
        <v>0.2816</v>
      </c>
      <c r="F34" s="8">
        <v>267.0</v>
      </c>
    </row>
    <row r="35">
      <c r="E35" s="8" t="s">
        <v>199</v>
      </c>
    </row>
    <row r="36">
      <c r="E36" s="46">
        <f>100%-E34</f>
        <v>0.7184</v>
      </c>
    </row>
    <row r="87">
      <c r="A87" s="34"/>
      <c r="B87" s="34"/>
      <c r="C87" s="34"/>
      <c r="D87" s="34"/>
      <c r="E87" s="34"/>
    </row>
    <row r="88">
      <c r="A88" s="33"/>
      <c r="B88" s="33" t="s">
        <v>113</v>
      </c>
      <c r="C88" s="34"/>
      <c r="D88" s="34"/>
      <c r="E88" s="34"/>
    </row>
    <row r="89">
      <c r="A89" s="34"/>
      <c r="B89" s="34"/>
      <c r="C89" s="34"/>
      <c r="D89" s="34"/>
      <c r="E89" s="34"/>
    </row>
    <row r="90">
      <c r="A90" s="26" t="s">
        <v>3</v>
      </c>
      <c r="B90" s="26" t="s">
        <v>4</v>
      </c>
      <c r="C90" s="26" t="s">
        <v>114</v>
      </c>
      <c r="D90" s="26" t="s">
        <v>6</v>
      </c>
    </row>
    <row r="91">
      <c r="A91" s="17">
        <f t="shared" ref="A91:A99" si="4">row(A91)-80</f>
        <v>11</v>
      </c>
      <c r="D91" s="47"/>
    </row>
    <row r="92">
      <c r="A92" s="17">
        <f t="shared" si="4"/>
        <v>12</v>
      </c>
      <c r="B92" s="11"/>
      <c r="D92" s="27"/>
    </row>
    <row r="93">
      <c r="A93" s="17">
        <f t="shared" si="4"/>
        <v>13</v>
      </c>
    </row>
    <row r="94">
      <c r="A94" s="17">
        <f t="shared" si="4"/>
        <v>14</v>
      </c>
      <c r="B94" s="11"/>
    </row>
    <row r="95">
      <c r="A95" s="17">
        <f t="shared" si="4"/>
        <v>15</v>
      </c>
    </row>
    <row r="96">
      <c r="A96" s="17">
        <f t="shared" si="4"/>
        <v>16</v>
      </c>
    </row>
    <row r="97">
      <c r="A97" s="17">
        <f t="shared" si="4"/>
        <v>17</v>
      </c>
    </row>
    <row r="98">
      <c r="A98" s="17">
        <f t="shared" si="4"/>
        <v>18</v>
      </c>
    </row>
    <row r="99">
      <c r="A99" s="17">
        <f t="shared" si="4"/>
        <v>19</v>
      </c>
    </row>
  </sheetData>
  <hyperlinks>
    <hyperlink r:id="rId1" ref="U4"/>
    <hyperlink r:id="rId2" ref="D6"/>
    <hyperlink r:id="rId3" ref="D7"/>
    <hyperlink r:id="rId4" ref="D10"/>
    <hyperlink r:id="rId5" location=":~:text=Roughly%20two%2Dthirds%20of%20teens,among%20White%20teens%20(58%25)." ref="D11"/>
    <hyperlink r:id="rId6" ref="D14"/>
    <hyperlink r:id="rId7" ref="D15"/>
    <hyperlink r:id="rId8" ref="D16"/>
    <hyperlink r:id="rId9" ref="D17"/>
    <hyperlink r:id="rId10" ref="D18"/>
    <hyperlink r:id="rId11" ref="D19"/>
    <hyperlink r:id="rId12" ref="D20"/>
    <hyperlink r:id="rId13" ref="D21"/>
    <hyperlink r:id="rId14" ref="D22"/>
    <hyperlink r:id="rId15" ref="D23"/>
    <hyperlink r:id="rId16" ref="D24"/>
    <hyperlink r:id="rId17" ref="D25"/>
    <hyperlink r:id="rId18" ref="F27"/>
    <hyperlink r:id="rId19" ref="G27"/>
    <hyperlink r:id="rId20" ref="D32"/>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c r="B1" s="48" t="s">
        <v>200</v>
      </c>
      <c r="C1" s="49"/>
      <c r="D1" s="49"/>
      <c r="E1" s="49"/>
    </row>
    <row r="2">
      <c r="A2" s="50"/>
      <c r="B2" s="50"/>
      <c r="C2" s="50"/>
      <c r="D2" s="50"/>
      <c r="E2" s="50"/>
    </row>
    <row r="3">
      <c r="A3" s="51"/>
      <c r="B3" s="51" t="s">
        <v>1</v>
      </c>
      <c r="C3" s="50"/>
      <c r="D3" s="50"/>
      <c r="E3" s="52" t="s">
        <v>2</v>
      </c>
      <c r="H3" s="8" t="s">
        <v>201</v>
      </c>
    </row>
    <row r="4">
      <c r="A4" s="50"/>
      <c r="B4" s="50"/>
      <c r="C4" s="50"/>
      <c r="D4" s="50"/>
      <c r="E4" s="50"/>
      <c r="H4" s="53" t="s">
        <v>202</v>
      </c>
    </row>
    <row r="5">
      <c r="A5" s="54" t="s">
        <v>3</v>
      </c>
      <c r="B5" s="54" t="s">
        <v>4</v>
      </c>
      <c r="C5" s="54" t="s">
        <v>5</v>
      </c>
      <c r="D5" s="54" t="s">
        <v>6</v>
      </c>
      <c r="E5" s="54" t="s">
        <v>7</v>
      </c>
      <c r="H5" s="8" t="s">
        <v>203</v>
      </c>
    </row>
    <row r="6">
      <c r="A6" s="55">
        <f>row(A6)-5</f>
        <v>1</v>
      </c>
      <c r="B6" s="11" t="s">
        <v>204</v>
      </c>
      <c r="C6" s="8" t="s">
        <v>205</v>
      </c>
      <c r="D6" s="47"/>
      <c r="E6" s="10"/>
    </row>
    <row r="7">
      <c r="A7" s="55">
        <v>2.0</v>
      </c>
      <c r="B7" s="11" t="s">
        <v>206</v>
      </c>
      <c r="C7" s="8" t="s">
        <v>12</v>
      </c>
    </row>
    <row r="8">
      <c r="A8" s="55">
        <f t="shared" ref="A8:A101" si="1">row(A8)-5</f>
        <v>3</v>
      </c>
      <c r="B8" s="11" t="s">
        <v>207</v>
      </c>
      <c r="C8" s="19" t="s">
        <v>12</v>
      </c>
      <c r="D8" s="8" t="s">
        <v>208</v>
      </c>
    </row>
    <row r="9">
      <c r="A9" s="55">
        <f t="shared" si="1"/>
        <v>4</v>
      </c>
      <c r="B9" s="11" t="s">
        <v>209</v>
      </c>
      <c r="C9" s="19" t="s">
        <v>12</v>
      </c>
    </row>
    <row r="10">
      <c r="A10" s="55">
        <f t="shared" si="1"/>
        <v>5</v>
      </c>
      <c r="B10" s="11" t="s">
        <v>210</v>
      </c>
    </row>
    <row r="11">
      <c r="A11" s="55">
        <f t="shared" si="1"/>
        <v>6</v>
      </c>
      <c r="B11" s="8" t="s">
        <v>211</v>
      </c>
      <c r="C11" s="17">
        <f>123000+125000+360000</f>
        <v>608000</v>
      </c>
      <c r="D11" s="12" t="s">
        <v>212</v>
      </c>
    </row>
    <row r="12">
      <c r="A12" s="55">
        <f t="shared" si="1"/>
        <v>7</v>
      </c>
      <c r="B12" s="8" t="s">
        <v>213</v>
      </c>
      <c r="C12" s="13"/>
    </row>
    <row r="13">
      <c r="A13" s="55">
        <f t="shared" si="1"/>
        <v>8</v>
      </c>
      <c r="B13" s="8" t="s">
        <v>214</v>
      </c>
      <c r="D13" s="12" t="s">
        <v>215</v>
      </c>
      <c r="E13" s="8" t="s">
        <v>216</v>
      </c>
    </row>
    <row r="14">
      <c r="A14" s="55">
        <f t="shared" si="1"/>
        <v>9</v>
      </c>
      <c r="C14" s="8" t="s">
        <v>188</v>
      </c>
      <c r="D14" s="8" t="s">
        <v>217</v>
      </c>
      <c r="E14" s="14"/>
    </row>
    <row r="15">
      <c r="A15" s="55">
        <f t="shared" si="1"/>
        <v>10</v>
      </c>
      <c r="C15" s="8">
        <v>2025.0</v>
      </c>
      <c r="D15" s="22">
        <v>2100000.0</v>
      </c>
    </row>
    <row r="16">
      <c r="A16" s="55">
        <f t="shared" si="1"/>
        <v>11</v>
      </c>
      <c r="C16" s="8">
        <v>2024.0</v>
      </c>
      <c r="D16" s="22">
        <v>1760000.0</v>
      </c>
    </row>
    <row r="17">
      <c r="A17" s="55">
        <f t="shared" si="1"/>
        <v>12</v>
      </c>
      <c r="C17" s="8">
        <v>2023.0</v>
      </c>
      <c r="D17" s="22">
        <v>260000.0</v>
      </c>
      <c r="E17" s="22"/>
    </row>
    <row r="18">
      <c r="A18" s="55">
        <f t="shared" si="1"/>
        <v>13</v>
      </c>
      <c r="B18" s="8" t="s">
        <v>194</v>
      </c>
    </row>
    <row r="19">
      <c r="A19" s="55">
        <f t="shared" si="1"/>
        <v>14</v>
      </c>
      <c r="B19" s="8" t="s">
        <v>218</v>
      </c>
      <c r="C19" s="15"/>
      <c r="D19" s="12" t="s">
        <v>219</v>
      </c>
      <c r="E19" s="8" t="s">
        <v>216</v>
      </c>
    </row>
    <row r="20">
      <c r="A20" s="55">
        <f t="shared" si="1"/>
        <v>15</v>
      </c>
      <c r="B20" s="15"/>
      <c r="C20" s="8" t="s">
        <v>188</v>
      </c>
      <c r="D20" s="8" t="s">
        <v>217</v>
      </c>
      <c r="E20" s="15"/>
    </row>
    <row r="21">
      <c r="A21" s="55">
        <f t="shared" si="1"/>
        <v>16</v>
      </c>
      <c r="B21" s="15"/>
      <c r="C21" s="8">
        <v>2025.0</v>
      </c>
      <c r="D21" s="56">
        <v>2290000.0</v>
      </c>
      <c r="E21" s="56"/>
    </row>
    <row r="22">
      <c r="A22" s="55">
        <f t="shared" si="1"/>
        <v>17</v>
      </c>
      <c r="C22" s="8">
        <v>2024.0</v>
      </c>
      <c r="D22" s="22">
        <v>720000.0</v>
      </c>
    </row>
    <row r="23">
      <c r="A23" s="55">
        <f t="shared" si="1"/>
        <v>18</v>
      </c>
      <c r="C23" s="8">
        <v>2023.0</v>
      </c>
      <c r="D23" s="56">
        <v>280000.0</v>
      </c>
    </row>
    <row r="24">
      <c r="A24" s="55">
        <f t="shared" si="1"/>
        <v>19</v>
      </c>
      <c r="B24" s="8" t="s">
        <v>220</v>
      </c>
      <c r="C24" s="15"/>
      <c r="D24" s="12" t="s">
        <v>221</v>
      </c>
    </row>
    <row r="25">
      <c r="A25" s="55">
        <f t="shared" si="1"/>
        <v>20</v>
      </c>
      <c r="C25" s="8" t="s">
        <v>188</v>
      </c>
      <c r="D25" s="8" t="s">
        <v>217</v>
      </c>
      <c r="E25" s="8" t="s">
        <v>216</v>
      </c>
    </row>
    <row r="26">
      <c r="A26" s="55">
        <f t="shared" si="1"/>
        <v>21</v>
      </c>
      <c r="C26" s="8">
        <v>2025.0</v>
      </c>
      <c r="D26" s="22">
        <v>150000.0</v>
      </c>
    </row>
    <row r="27">
      <c r="A27" s="55">
        <f t="shared" si="1"/>
        <v>22</v>
      </c>
      <c r="C27" s="8">
        <v>2024.0</v>
      </c>
      <c r="D27" s="22">
        <v>230000.0</v>
      </c>
    </row>
    <row r="28">
      <c r="A28" s="55">
        <f t="shared" si="1"/>
        <v>23</v>
      </c>
      <c r="C28" s="8">
        <v>2023.0</v>
      </c>
      <c r="D28" s="22">
        <v>70000.0</v>
      </c>
      <c r="E28" s="22"/>
    </row>
    <row r="29">
      <c r="A29" s="55">
        <f t="shared" si="1"/>
        <v>24</v>
      </c>
      <c r="B29" s="8" t="s">
        <v>194</v>
      </c>
    </row>
    <row r="30">
      <c r="A30" s="55">
        <f t="shared" si="1"/>
        <v>25</v>
      </c>
      <c r="B30" s="8" t="s">
        <v>222</v>
      </c>
      <c r="C30" s="8" t="s">
        <v>223</v>
      </c>
      <c r="D30" s="12" t="s">
        <v>224</v>
      </c>
      <c r="E30" s="57">
        <v>45883.0</v>
      </c>
    </row>
    <row r="31">
      <c r="A31" s="55">
        <f t="shared" si="1"/>
        <v>26</v>
      </c>
      <c r="B31" s="8" t="s">
        <v>225</v>
      </c>
      <c r="C31" s="8" t="s">
        <v>226</v>
      </c>
      <c r="D31" s="12" t="s">
        <v>227</v>
      </c>
      <c r="E31" s="57">
        <v>45883.0</v>
      </c>
    </row>
    <row r="32">
      <c r="A32" s="55">
        <f t="shared" si="1"/>
        <v>27</v>
      </c>
      <c r="B32" s="8" t="s">
        <v>228</v>
      </c>
      <c r="C32" s="8" t="s">
        <v>229</v>
      </c>
      <c r="D32" s="12" t="s">
        <v>230</v>
      </c>
      <c r="E32" s="57">
        <v>45883.0</v>
      </c>
    </row>
    <row r="33">
      <c r="A33" s="55">
        <f t="shared" si="1"/>
        <v>28</v>
      </c>
      <c r="B33" s="8" t="s">
        <v>194</v>
      </c>
    </row>
    <row r="34">
      <c r="A34" s="55">
        <f t="shared" si="1"/>
        <v>29</v>
      </c>
      <c r="B34" s="8" t="s">
        <v>231</v>
      </c>
      <c r="C34" s="19" t="s">
        <v>12</v>
      </c>
      <c r="D34" s="12" t="s">
        <v>232</v>
      </c>
    </row>
    <row r="35">
      <c r="A35" s="55">
        <f t="shared" si="1"/>
        <v>30</v>
      </c>
    </row>
    <row r="36">
      <c r="A36" s="55">
        <f t="shared" si="1"/>
        <v>31</v>
      </c>
      <c r="B36" s="8" t="s">
        <v>233</v>
      </c>
      <c r="C36" s="15"/>
      <c r="D36" s="12" t="s">
        <v>234</v>
      </c>
    </row>
    <row r="37">
      <c r="A37" s="55">
        <f t="shared" si="1"/>
        <v>32</v>
      </c>
      <c r="C37" s="8" t="s">
        <v>188</v>
      </c>
      <c r="D37" s="8" t="s">
        <v>217</v>
      </c>
      <c r="E37" s="8" t="s">
        <v>216</v>
      </c>
    </row>
    <row r="38">
      <c r="A38" s="55">
        <f t="shared" si="1"/>
        <v>33</v>
      </c>
      <c r="C38" s="8">
        <v>2025.0</v>
      </c>
      <c r="D38" s="22">
        <v>2.629E7</v>
      </c>
    </row>
    <row r="39">
      <c r="A39" s="55">
        <f t="shared" si="1"/>
        <v>34</v>
      </c>
      <c r="C39" s="8">
        <v>2024.0</v>
      </c>
      <c r="D39" s="22">
        <v>2.443E7</v>
      </c>
    </row>
    <row r="40">
      <c r="A40" s="55">
        <f t="shared" si="1"/>
        <v>35</v>
      </c>
      <c r="C40" s="8">
        <v>2023.0</v>
      </c>
      <c r="D40" s="22">
        <v>1.93E7</v>
      </c>
      <c r="E40" s="22"/>
    </row>
    <row r="41">
      <c r="A41" s="55">
        <f t="shared" si="1"/>
        <v>36</v>
      </c>
      <c r="B41" s="8" t="s">
        <v>235</v>
      </c>
      <c r="D41" s="12" t="s">
        <v>236</v>
      </c>
    </row>
    <row r="42">
      <c r="A42" s="55">
        <f t="shared" si="1"/>
        <v>37</v>
      </c>
      <c r="C42" s="8" t="s">
        <v>188</v>
      </c>
      <c r="D42" s="8" t="s">
        <v>217</v>
      </c>
      <c r="E42" s="8" t="s">
        <v>216</v>
      </c>
    </row>
    <row r="43">
      <c r="A43" s="55">
        <f t="shared" si="1"/>
        <v>38</v>
      </c>
      <c r="C43" s="8">
        <v>2025.0</v>
      </c>
      <c r="D43" s="58">
        <v>1.8865E7</v>
      </c>
    </row>
    <row r="44">
      <c r="A44" s="55">
        <f t="shared" si="1"/>
        <v>39</v>
      </c>
      <c r="C44" s="8">
        <v>2024.0</v>
      </c>
      <c r="D44" s="58">
        <v>1.914E7</v>
      </c>
    </row>
    <row r="45">
      <c r="A45" s="55">
        <f t="shared" si="1"/>
        <v>40</v>
      </c>
      <c r="C45" s="8">
        <v>2023.0</v>
      </c>
      <c r="D45" s="58">
        <v>1.999E7</v>
      </c>
      <c r="E45" s="22"/>
    </row>
    <row r="46">
      <c r="A46" s="55">
        <f t="shared" si="1"/>
        <v>41</v>
      </c>
      <c r="B46" s="8" t="s">
        <v>237</v>
      </c>
      <c r="D46" s="12" t="s">
        <v>238</v>
      </c>
    </row>
    <row r="47">
      <c r="A47" s="55">
        <f t="shared" si="1"/>
        <v>42</v>
      </c>
      <c r="C47" s="8" t="s">
        <v>188</v>
      </c>
      <c r="D47" s="8" t="s">
        <v>217</v>
      </c>
      <c r="E47" s="8" t="s">
        <v>216</v>
      </c>
    </row>
    <row r="48">
      <c r="A48" s="55">
        <f t="shared" si="1"/>
        <v>43</v>
      </c>
      <c r="C48" s="8">
        <v>2025.0</v>
      </c>
      <c r="D48" s="58">
        <v>1.654E7</v>
      </c>
    </row>
    <row r="49">
      <c r="A49" s="55">
        <f t="shared" si="1"/>
        <v>44</v>
      </c>
      <c r="C49" s="8">
        <v>2024.0</v>
      </c>
      <c r="D49" s="58">
        <v>1.486E7</v>
      </c>
    </row>
    <row r="50">
      <c r="A50" s="55">
        <f t="shared" si="1"/>
        <v>45</v>
      </c>
      <c r="C50" s="8">
        <v>2023.0</v>
      </c>
      <c r="D50" s="58">
        <v>1.445E7</v>
      </c>
      <c r="E50" s="22"/>
    </row>
    <row r="51">
      <c r="A51" s="55">
        <f t="shared" si="1"/>
        <v>46</v>
      </c>
      <c r="B51" s="8" t="s">
        <v>239</v>
      </c>
      <c r="D51" s="12" t="s">
        <v>240</v>
      </c>
    </row>
    <row r="52">
      <c r="A52" s="55">
        <f t="shared" si="1"/>
        <v>47</v>
      </c>
      <c r="C52" s="8" t="s">
        <v>188</v>
      </c>
      <c r="D52" s="8" t="s">
        <v>217</v>
      </c>
      <c r="E52" s="8" t="s">
        <v>216</v>
      </c>
    </row>
    <row r="53">
      <c r="A53" s="55">
        <f t="shared" si="1"/>
        <v>48</v>
      </c>
      <c r="C53" s="8">
        <v>2025.0</v>
      </c>
      <c r="D53" s="58">
        <v>1.0105E7</v>
      </c>
    </row>
    <row r="54">
      <c r="A54" s="55">
        <f t="shared" si="1"/>
        <v>49</v>
      </c>
      <c r="C54" s="8">
        <v>2024.0</v>
      </c>
      <c r="D54" s="58">
        <v>1.0353764E7</v>
      </c>
    </row>
    <row r="55">
      <c r="A55" s="55">
        <f t="shared" si="1"/>
        <v>50</v>
      </c>
      <c r="C55" s="8">
        <v>2023.0</v>
      </c>
      <c r="D55" s="58">
        <v>1.0544433E7</v>
      </c>
      <c r="E55" s="22"/>
    </row>
    <row r="56">
      <c r="A56" s="55">
        <f t="shared" si="1"/>
        <v>51</v>
      </c>
      <c r="B56" s="8" t="s">
        <v>241</v>
      </c>
      <c r="D56" s="12" t="s">
        <v>242</v>
      </c>
    </row>
    <row r="57">
      <c r="A57" s="55">
        <f t="shared" si="1"/>
        <v>52</v>
      </c>
      <c r="C57" s="8" t="s">
        <v>188</v>
      </c>
      <c r="D57" s="8" t="s">
        <v>217</v>
      </c>
      <c r="E57" s="8" t="s">
        <v>216</v>
      </c>
    </row>
    <row r="58">
      <c r="A58" s="55">
        <f t="shared" si="1"/>
        <v>53</v>
      </c>
      <c r="C58" s="8">
        <v>2025.0</v>
      </c>
      <c r="D58" s="58">
        <v>1.155E7</v>
      </c>
    </row>
    <row r="59">
      <c r="A59" s="55">
        <f t="shared" si="1"/>
        <v>54</v>
      </c>
      <c r="C59" s="8">
        <v>2024.0</v>
      </c>
      <c r="D59" s="58">
        <v>1.186E7</v>
      </c>
    </row>
    <row r="60">
      <c r="A60" s="55">
        <f t="shared" si="1"/>
        <v>55</v>
      </c>
      <c r="C60" s="8">
        <v>2023.0</v>
      </c>
      <c r="D60" s="58">
        <v>1.337E7</v>
      </c>
      <c r="E60" s="22"/>
    </row>
    <row r="61">
      <c r="A61" s="55">
        <f t="shared" si="1"/>
        <v>56</v>
      </c>
      <c r="B61" s="8" t="s">
        <v>243</v>
      </c>
      <c r="D61" s="12" t="s">
        <v>244</v>
      </c>
    </row>
    <row r="62">
      <c r="A62" s="55">
        <f t="shared" si="1"/>
        <v>57</v>
      </c>
      <c r="C62" s="8" t="s">
        <v>188</v>
      </c>
      <c r="D62" s="8" t="s">
        <v>217</v>
      </c>
      <c r="E62" s="8" t="s">
        <v>216</v>
      </c>
    </row>
    <row r="63">
      <c r="A63" s="55">
        <f t="shared" si="1"/>
        <v>58</v>
      </c>
      <c r="C63" s="8">
        <v>2025.0</v>
      </c>
      <c r="D63" s="58">
        <v>4950000.0</v>
      </c>
    </row>
    <row r="64">
      <c r="A64" s="55">
        <f t="shared" si="1"/>
        <v>59</v>
      </c>
      <c r="C64" s="8">
        <v>2024.0</v>
      </c>
      <c r="D64" s="58">
        <v>640000.0</v>
      </c>
    </row>
    <row r="65">
      <c r="A65" s="55">
        <f t="shared" si="1"/>
        <v>60</v>
      </c>
      <c r="C65" s="8">
        <v>2023.0</v>
      </c>
      <c r="D65" s="58">
        <v>510000.0</v>
      </c>
      <c r="E65" s="22"/>
    </row>
    <row r="66">
      <c r="A66" s="55">
        <f t="shared" si="1"/>
        <v>61</v>
      </c>
      <c r="B66" s="8" t="s">
        <v>245</v>
      </c>
      <c r="D66" s="12" t="s">
        <v>246</v>
      </c>
    </row>
    <row r="67">
      <c r="A67" s="55">
        <f t="shared" si="1"/>
        <v>62</v>
      </c>
      <c r="C67" s="8" t="s">
        <v>188</v>
      </c>
      <c r="D67" s="8" t="s">
        <v>217</v>
      </c>
      <c r="E67" s="8" t="s">
        <v>216</v>
      </c>
    </row>
    <row r="68">
      <c r="A68" s="55">
        <f t="shared" si="1"/>
        <v>63</v>
      </c>
      <c r="C68" s="8">
        <v>2025.0</v>
      </c>
      <c r="D68" s="58">
        <v>1.0E7</v>
      </c>
    </row>
    <row r="69">
      <c r="A69" s="55">
        <f t="shared" si="1"/>
        <v>64</v>
      </c>
      <c r="C69" s="8">
        <v>2024.0</v>
      </c>
      <c r="D69" s="58">
        <v>7820000.0</v>
      </c>
    </row>
    <row r="70">
      <c r="A70" s="55">
        <f t="shared" si="1"/>
        <v>65</v>
      </c>
      <c r="C70" s="8">
        <v>2023.0</v>
      </c>
      <c r="D70" s="58">
        <v>9860000.0</v>
      </c>
      <c r="E70" s="22"/>
    </row>
    <row r="71">
      <c r="A71" s="55">
        <f t="shared" si="1"/>
        <v>66</v>
      </c>
      <c r="B71" s="8" t="s">
        <v>247</v>
      </c>
      <c r="D71" s="12" t="s">
        <v>248</v>
      </c>
    </row>
    <row r="72">
      <c r="A72" s="55">
        <f t="shared" si="1"/>
        <v>67</v>
      </c>
      <c r="C72" s="8" t="s">
        <v>188</v>
      </c>
      <c r="D72" s="8" t="s">
        <v>217</v>
      </c>
      <c r="E72" s="8" t="s">
        <v>216</v>
      </c>
    </row>
    <row r="73">
      <c r="A73" s="55">
        <f t="shared" si="1"/>
        <v>68</v>
      </c>
      <c r="C73" s="8">
        <v>2025.0</v>
      </c>
      <c r="D73" s="58">
        <v>4110000.0</v>
      </c>
    </row>
    <row r="74">
      <c r="A74" s="55">
        <f t="shared" si="1"/>
        <v>69</v>
      </c>
      <c r="C74" s="8">
        <v>2024.0</v>
      </c>
      <c r="D74" s="58">
        <v>5530000.0</v>
      </c>
    </row>
    <row r="75">
      <c r="A75" s="55">
        <f t="shared" si="1"/>
        <v>70</v>
      </c>
      <c r="C75" s="8">
        <v>2023.0</v>
      </c>
      <c r="D75" s="58">
        <v>5670000.0</v>
      </c>
      <c r="E75" s="22"/>
    </row>
    <row r="76">
      <c r="A76" s="55">
        <f t="shared" si="1"/>
        <v>71</v>
      </c>
      <c r="B76" s="8" t="s">
        <v>249</v>
      </c>
      <c r="D76" s="12" t="s">
        <v>250</v>
      </c>
    </row>
    <row r="77">
      <c r="A77" s="55">
        <f t="shared" si="1"/>
        <v>72</v>
      </c>
      <c r="C77" s="8" t="s">
        <v>188</v>
      </c>
      <c r="D77" s="8" t="s">
        <v>217</v>
      </c>
      <c r="E77" s="8" t="s">
        <v>216</v>
      </c>
    </row>
    <row r="78">
      <c r="A78" s="55">
        <f t="shared" si="1"/>
        <v>73</v>
      </c>
      <c r="C78" s="8">
        <v>2025.0</v>
      </c>
      <c r="D78" s="58">
        <v>6530000.0</v>
      </c>
    </row>
    <row r="79">
      <c r="A79" s="55">
        <f t="shared" si="1"/>
        <v>74</v>
      </c>
      <c r="C79" s="8">
        <v>2024.0</v>
      </c>
      <c r="D79" s="58">
        <v>7380000.0</v>
      </c>
    </row>
    <row r="80">
      <c r="A80" s="55">
        <f t="shared" si="1"/>
        <v>75</v>
      </c>
      <c r="C80" s="8">
        <v>2023.0</v>
      </c>
      <c r="D80" s="58">
        <v>7220000.0</v>
      </c>
      <c r="E80" s="22"/>
    </row>
    <row r="81">
      <c r="A81" s="55">
        <f t="shared" si="1"/>
        <v>76</v>
      </c>
      <c r="B81" s="8" t="s">
        <v>251</v>
      </c>
      <c r="D81" s="12" t="s">
        <v>252</v>
      </c>
    </row>
    <row r="82">
      <c r="A82" s="55">
        <f t="shared" si="1"/>
        <v>77</v>
      </c>
      <c r="C82" s="8" t="s">
        <v>188</v>
      </c>
      <c r="D82" s="8" t="s">
        <v>217</v>
      </c>
      <c r="E82" s="8" t="s">
        <v>216</v>
      </c>
    </row>
    <row r="83">
      <c r="A83" s="55">
        <f t="shared" si="1"/>
        <v>78</v>
      </c>
      <c r="C83" s="8">
        <v>2025.0</v>
      </c>
      <c r="D83" s="58">
        <v>5640000.0</v>
      </c>
    </row>
    <row r="84">
      <c r="A84" s="55">
        <f t="shared" si="1"/>
        <v>79</v>
      </c>
      <c r="C84" s="8">
        <v>2024.0</v>
      </c>
      <c r="D84" s="58">
        <v>6340000.0</v>
      </c>
    </row>
    <row r="85">
      <c r="A85" s="55">
        <f t="shared" si="1"/>
        <v>80</v>
      </c>
      <c r="C85" s="8">
        <v>2023.0</v>
      </c>
      <c r="D85" s="58">
        <v>5510000.0</v>
      </c>
      <c r="E85" s="22"/>
    </row>
    <row r="86">
      <c r="A86" s="55">
        <f t="shared" si="1"/>
        <v>81</v>
      </c>
      <c r="B86" s="8" t="s">
        <v>253</v>
      </c>
      <c r="D86" s="12" t="s">
        <v>254</v>
      </c>
    </row>
    <row r="87">
      <c r="A87" s="55">
        <f t="shared" si="1"/>
        <v>82</v>
      </c>
      <c r="C87" s="8" t="s">
        <v>188</v>
      </c>
      <c r="D87" s="8" t="s">
        <v>217</v>
      </c>
      <c r="E87" s="8" t="s">
        <v>216</v>
      </c>
    </row>
    <row r="88">
      <c r="A88" s="55">
        <f t="shared" si="1"/>
        <v>83</v>
      </c>
      <c r="C88" s="8">
        <v>2025.0</v>
      </c>
      <c r="D88" s="58">
        <v>3480000.0</v>
      </c>
    </row>
    <row r="89">
      <c r="A89" s="55">
        <f t="shared" si="1"/>
        <v>84</v>
      </c>
      <c r="C89" s="8">
        <v>2024.0</v>
      </c>
      <c r="D89" s="58">
        <v>6340000.0</v>
      </c>
    </row>
    <row r="90">
      <c r="A90" s="55">
        <f t="shared" si="1"/>
        <v>85</v>
      </c>
      <c r="C90" s="8">
        <v>2023.0</v>
      </c>
      <c r="D90" s="58">
        <v>6860000.0</v>
      </c>
      <c r="E90" s="22"/>
    </row>
    <row r="91">
      <c r="A91" s="55">
        <f t="shared" si="1"/>
        <v>86</v>
      </c>
      <c r="B91" s="8" t="s">
        <v>255</v>
      </c>
    </row>
    <row r="92">
      <c r="A92" s="55">
        <f t="shared" si="1"/>
        <v>87</v>
      </c>
      <c r="B92" s="8" t="s">
        <v>256</v>
      </c>
      <c r="C92" s="8" t="s">
        <v>257</v>
      </c>
    </row>
    <row r="93">
      <c r="A93" s="55">
        <f t="shared" si="1"/>
        <v>88</v>
      </c>
      <c r="B93" s="8" t="s">
        <v>258</v>
      </c>
      <c r="C93" s="8" t="s">
        <v>259</v>
      </c>
      <c r="D93" s="12" t="s">
        <v>260</v>
      </c>
    </row>
    <row r="94">
      <c r="A94" s="55">
        <f t="shared" si="1"/>
        <v>89</v>
      </c>
      <c r="B94" s="8" t="s">
        <v>261</v>
      </c>
      <c r="C94" s="8" t="s">
        <v>262</v>
      </c>
      <c r="D94" s="12" t="s">
        <v>263</v>
      </c>
    </row>
    <row r="95">
      <c r="A95" s="55">
        <f t="shared" si="1"/>
        <v>90</v>
      </c>
      <c r="B95" s="8" t="s">
        <v>264</v>
      </c>
      <c r="C95" s="8" t="s">
        <v>265</v>
      </c>
      <c r="D95" s="12" t="s">
        <v>266</v>
      </c>
    </row>
    <row r="96">
      <c r="A96" s="55">
        <f t="shared" si="1"/>
        <v>91</v>
      </c>
      <c r="B96" s="8" t="s">
        <v>267</v>
      </c>
      <c r="C96" s="8" t="s">
        <v>268</v>
      </c>
      <c r="D96" s="12" t="s">
        <v>269</v>
      </c>
    </row>
    <row r="97">
      <c r="A97" s="55">
        <f t="shared" si="1"/>
        <v>92</v>
      </c>
    </row>
    <row r="98">
      <c r="A98" s="55">
        <f t="shared" si="1"/>
        <v>93</v>
      </c>
    </row>
    <row r="99">
      <c r="A99" s="55">
        <f t="shared" si="1"/>
        <v>94</v>
      </c>
    </row>
    <row r="100">
      <c r="A100" s="55">
        <f t="shared" si="1"/>
        <v>95</v>
      </c>
    </row>
    <row r="101">
      <c r="A101" s="55">
        <f t="shared" si="1"/>
        <v>96</v>
      </c>
    </row>
    <row r="311">
      <c r="A311" s="33"/>
      <c r="B311" s="33" t="s">
        <v>113</v>
      </c>
      <c r="C311" s="34"/>
      <c r="D311" s="34"/>
      <c r="E311" s="34"/>
    </row>
    <row r="312">
      <c r="A312" s="34"/>
      <c r="B312" s="34"/>
      <c r="C312" s="34"/>
      <c r="D312" s="34"/>
      <c r="E312" s="34"/>
    </row>
    <row r="313">
      <c r="A313" s="59" t="s">
        <v>3</v>
      </c>
      <c r="B313" s="59" t="s">
        <v>4</v>
      </c>
      <c r="C313" s="59" t="s">
        <v>114</v>
      </c>
      <c r="D313" s="59" t="s">
        <v>6</v>
      </c>
      <c r="E313" s="60"/>
    </row>
    <row r="314">
      <c r="A314" s="60">
        <f t="shared" ref="A314:A322" si="2">row(A314)-80</f>
        <v>234</v>
      </c>
      <c r="D314" s="47"/>
    </row>
    <row r="315">
      <c r="A315" s="60">
        <f t="shared" si="2"/>
        <v>235</v>
      </c>
      <c r="B315" s="11"/>
      <c r="D315" s="27"/>
    </row>
    <row r="316">
      <c r="A316" s="60">
        <f t="shared" si="2"/>
        <v>236</v>
      </c>
    </row>
    <row r="317">
      <c r="A317" s="60">
        <f t="shared" si="2"/>
        <v>237</v>
      </c>
      <c r="B317" s="11"/>
    </row>
    <row r="318">
      <c r="A318" s="60">
        <f t="shared" si="2"/>
        <v>238</v>
      </c>
    </row>
    <row r="319">
      <c r="A319" s="60">
        <f t="shared" si="2"/>
        <v>239</v>
      </c>
    </row>
    <row r="320">
      <c r="A320" s="60">
        <f t="shared" si="2"/>
        <v>240</v>
      </c>
    </row>
    <row r="321">
      <c r="A321" s="60">
        <f t="shared" si="2"/>
        <v>241</v>
      </c>
    </row>
    <row r="322">
      <c r="A322" s="60">
        <f t="shared" si="2"/>
        <v>242</v>
      </c>
    </row>
  </sheetData>
  <hyperlinks>
    <hyperlink r:id="rId1" ref="D11"/>
    <hyperlink r:id="rId2" ref="D13"/>
    <hyperlink r:id="rId3" ref="D19"/>
    <hyperlink r:id="rId4" ref="D24"/>
    <hyperlink r:id="rId5" ref="D30"/>
    <hyperlink r:id="rId6" ref="D31"/>
    <hyperlink r:id="rId7" ref="D32"/>
    <hyperlink r:id="rId8" ref="D34"/>
    <hyperlink r:id="rId9" ref="D36"/>
    <hyperlink r:id="rId10" ref="D41"/>
    <hyperlink r:id="rId11" ref="D46"/>
    <hyperlink r:id="rId12" ref="D51"/>
    <hyperlink r:id="rId13" ref="D56"/>
    <hyperlink r:id="rId14" ref="D61"/>
    <hyperlink r:id="rId15" ref="D66"/>
    <hyperlink r:id="rId16" ref="D71"/>
    <hyperlink r:id="rId17" ref="D76"/>
    <hyperlink r:id="rId18" ref="D81"/>
    <hyperlink r:id="rId19" ref="D86"/>
    <hyperlink r:id="rId20" ref="D93"/>
    <hyperlink r:id="rId21" ref="D94"/>
    <hyperlink r:id="rId22" ref="D95"/>
    <hyperlink r:id="rId23" ref="D96"/>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c r="B1" s="61" t="s">
        <v>270</v>
      </c>
      <c r="C1" s="62"/>
      <c r="D1" s="62"/>
      <c r="E1" s="62"/>
    </row>
    <row r="2">
      <c r="A2" s="63"/>
      <c r="B2" s="63"/>
      <c r="C2" s="63"/>
      <c r="D2" s="63"/>
      <c r="E2" s="63"/>
    </row>
    <row r="3">
      <c r="A3" s="64"/>
      <c r="B3" s="64" t="s">
        <v>1</v>
      </c>
      <c r="C3" s="63"/>
      <c r="D3" s="63"/>
      <c r="E3" s="65" t="s">
        <v>2</v>
      </c>
      <c r="G3" s="66"/>
    </row>
    <row r="4">
      <c r="A4" s="63"/>
      <c r="B4" s="63"/>
      <c r="C4" s="63"/>
      <c r="D4" s="63"/>
      <c r="E4" s="63"/>
    </row>
    <row r="5">
      <c r="A5" s="67" t="s">
        <v>3</v>
      </c>
      <c r="B5" s="67" t="s">
        <v>4</v>
      </c>
      <c r="C5" s="67" t="s">
        <v>5</v>
      </c>
      <c r="D5" s="67" t="s">
        <v>6</v>
      </c>
      <c r="E5" s="67" t="s">
        <v>7</v>
      </c>
    </row>
    <row r="6">
      <c r="A6" s="68">
        <f>row(A6)-5</f>
        <v>1</v>
      </c>
      <c r="B6" s="11" t="s">
        <v>271</v>
      </c>
      <c r="D6" s="12" t="s">
        <v>272</v>
      </c>
      <c r="E6" s="66">
        <v>45811.0</v>
      </c>
    </row>
    <row r="7">
      <c r="A7" s="68">
        <v>2.0</v>
      </c>
      <c r="B7" s="11"/>
      <c r="C7" s="69" t="s">
        <v>273</v>
      </c>
      <c r="D7" s="69" t="s">
        <v>274</v>
      </c>
      <c r="E7" s="70" t="s">
        <v>275</v>
      </c>
    </row>
    <row r="8">
      <c r="A8" s="68">
        <f t="shared" ref="A8:A38" si="1">row(A8)-5</f>
        <v>3</v>
      </c>
      <c r="B8" s="11"/>
      <c r="C8" s="69" t="s">
        <v>276</v>
      </c>
      <c r="D8" s="69">
        <v>3.0</v>
      </c>
      <c r="E8" s="71" t="s">
        <v>277</v>
      </c>
    </row>
    <row r="9">
      <c r="A9" s="68">
        <f t="shared" si="1"/>
        <v>4</v>
      </c>
      <c r="B9" s="11"/>
      <c r="C9" s="69" t="s">
        <v>278</v>
      </c>
      <c r="D9" s="69">
        <v>2.0</v>
      </c>
      <c r="E9" s="71" t="s">
        <v>279</v>
      </c>
    </row>
    <row r="10">
      <c r="A10" s="68">
        <f t="shared" si="1"/>
        <v>5</v>
      </c>
      <c r="B10" s="11"/>
      <c r="C10" s="69" t="s">
        <v>280</v>
      </c>
      <c r="D10" s="69">
        <v>2.0</v>
      </c>
      <c r="E10" s="71" t="s">
        <v>281</v>
      </c>
    </row>
    <row r="11">
      <c r="A11" s="68">
        <f t="shared" si="1"/>
        <v>6</v>
      </c>
      <c r="C11" s="69" t="s">
        <v>282</v>
      </c>
      <c r="D11" s="69">
        <v>3.0</v>
      </c>
      <c r="E11" s="71" t="s">
        <v>283</v>
      </c>
    </row>
    <row r="12">
      <c r="A12" s="68">
        <f t="shared" si="1"/>
        <v>7</v>
      </c>
      <c r="C12" s="69" t="s">
        <v>284</v>
      </c>
      <c r="D12" s="69">
        <v>2.0</v>
      </c>
      <c r="E12" s="71" t="s">
        <v>285</v>
      </c>
    </row>
    <row r="13">
      <c r="A13" s="68">
        <f t="shared" si="1"/>
        <v>8</v>
      </c>
      <c r="C13" s="69" t="s">
        <v>286</v>
      </c>
      <c r="D13" s="69">
        <v>3.0</v>
      </c>
      <c r="E13" s="71" t="s">
        <v>287</v>
      </c>
    </row>
    <row r="14">
      <c r="A14" s="68">
        <f t="shared" si="1"/>
        <v>9</v>
      </c>
      <c r="C14" s="69" t="s">
        <v>288</v>
      </c>
      <c r="D14" s="69">
        <v>3.0</v>
      </c>
      <c r="E14" s="71" t="s">
        <v>289</v>
      </c>
    </row>
    <row r="15">
      <c r="A15" s="68">
        <f t="shared" si="1"/>
        <v>10</v>
      </c>
      <c r="C15" s="69" t="s">
        <v>290</v>
      </c>
      <c r="D15" s="69">
        <v>2.0</v>
      </c>
      <c r="E15" s="71" t="s">
        <v>291</v>
      </c>
    </row>
    <row r="16">
      <c r="A16" s="68">
        <f t="shared" si="1"/>
        <v>11</v>
      </c>
      <c r="C16" s="69" t="s">
        <v>292</v>
      </c>
      <c r="D16" s="69">
        <v>2.0</v>
      </c>
      <c r="E16" s="71" t="s">
        <v>293</v>
      </c>
    </row>
    <row r="17">
      <c r="A17" s="68">
        <f t="shared" si="1"/>
        <v>12</v>
      </c>
      <c r="D17" s="12" t="s">
        <v>294</v>
      </c>
    </row>
    <row r="18">
      <c r="A18" s="68">
        <f t="shared" si="1"/>
        <v>13</v>
      </c>
      <c r="B18" s="8" t="s">
        <v>295</v>
      </c>
    </row>
    <row r="19">
      <c r="A19" s="68">
        <f t="shared" si="1"/>
        <v>14</v>
      </c>
      <c r="B19" s="15"/>
      <c r="C19" s="15"/>
      <c r="D19" s="15"/>
      <c r="E19" s="15"/>
    </row>
    <row r="20">
      <c r="A20" s="68">
        <f t="shared" si="1"/>
        <v>15</v>
      </c>
      <c r="B20" s="15"/>
      <c r="C20" s="16"/>
      <c r="D20" s="16"/>
      <c r="E20" s="15"/>
    </row>
    <row r="21">
      <c r="A21" s="68">
        <f t="shared" si="1"/>
        <v>16</v>
      </c>
      <c r="B21" s="15"/>
      <c r="C21" s="16"/>
      <c r="D21" s="16"/>
      <c r="E21" s="15"/>
    </row>
    <row r="22">
      <c r="A22" s="68">
        <f t="shared" si="1"/>
        <v>17</v>
      </c>
    </row>
    <row r="23">
      <c r="A23" s="68">
        <f t="shared" si="1"/>
        <v>18</v>
      </c>
    </row>
    <row r="24">
      <c r="A24" s="68">
        <f t="shared" si="1"/>
        <v>19</v>
      </c>
    </row>
    <row r="25">
      <c r="A25" s="68">
        <f t="shared" si="1"/>
        <v>20</v>
      </c>
    </row>
    <row r="26">
      <c r="A26" s="68">
        <f t="shared" si="1"/>
        <v>21</v>
      </c>
    </row>
    <row r="27">
      <c r="A27" s="68">
        <f t="shared" si="1"/>
        <v>22</v>
      </c>
    </row>
    <row r="28">
      <c r="A28" s="68">
        <f t="shared" si="1"/>
        <v>23</v>
      </c>
    </row>
    <row r="29">
      <c r="A29" s="68">
        <f t="shared" si="1"/>
        <v>24</v>
      </c>
    </row>
    <row r="30">
      <c r="A30" s="68">
        <f t="shared" si="1"/>
        <v>25</v>
      </c>
    </row>
    <row r="31">
      <c r="A31" s="68">
        <f t="shared" si="1"/>
        <v>26</v>
      </c>
    </row>
    <row r="32">
      <c r="A32" s="68">
        <f t="shared" si="1"/>
        <v>27</v>
      </c>
    </row>
    <row r="33">
      <c r="A33" s="68">
        <f t="shared" si="1"/>
        <v>28</v>
      </c>
    </row>
    <row r="34">
      <c r="A34" s="68">
        <f t="shared" si="1"/>
        <v>29</v>
      </c>
    </row>
    <row r="35">
      <c r="A35" s="68">
        <f t="shared" si="1"/>
        <v>30</v>
      </c>
    </row>
    <row r="36">
      <c r="A36" s="68">
        <f t="shared" si="1"/>
        <v>31</v>
      </c>
    </row>
    <row r="37">
      <c r="A37" s="68">
        <f t="shared" si="1"/>
        <v>32</v>
      </c>
    </row>
    <row r="38">
      <c r="A38" s="68">
        <f t="shared" si="1"/>
        <v>33</v>
      </c>
    </row>
    <row r="77">
      <c r="A77" s="63"/>
      <c r="B77" s="63"/>
      <c r="C77" s="63"/>
      <c r="D77" s="63"/>
      <c r="E77" s="63"/>
    </row>
    <row r="78">
      <c r="A78" s="64"/>
      <c r="B78" s="64" t="s">
        <v>113</v>
      </c>
      <c r="C78" s="63"/>
      <c r="D78" s="63"/>
      <c r="E78" s="63"/>
    </row>
    <row r="79">
      <c r="A79" s="63"/>
      <c r="B79" s="63"/>
      <c r="C79" s="63"/>
      <c r="D79" s="63"/>
      <c r="E79" s="63"/>
    </row>
    <row r="80">
      <c r="A80" s="67" t="s">
        <v>3</v>
      </c>
      <c r="B80" s="67" t="s">
        <v>4</v>
      </c>
      <c r="C80" s="67" t="s">
        <v>114</v>
      </c>
      <c r="D80" s="67" t="s">
        <v>6</v>
      </c>
      <c r="E80" s="72"/>
    </row>
    <row r="81">
      <c r="A81" s="72">
        <f t="shared" ref="A81:A89" si="2">row(A81)-80</f>
        <v>1</v>
      </c>
      <c r="D81" s="47"/>
    </row>
    <row r="82">
      <c r="A82" s="72">
        <f t="shared" si="2"/>
        <v>2</v>
      </c>
      <c r="B82" s="11"/>
      <c r="D82" s="27"/>
    </row>
    <row r="83">
      <c r="A83" s="72">
        <f t="shared" si="2"/>
        <v>3</v>
      </c>
    </row>
    <row r="84">
      <c r="A84" s="72">
        <f t="shared" si="2"/>
        <v>4</v>
      </c>
      <c r="B84" s="11"/>
    </row>
    <row r="85">
      <c r="A85" s="72">
        <f t="shared" si="2"/>
        <v>5</v>
      </c>
    </row>
    <row r="86">
      <c r="A86" s="72">
        <f t="shared" si="2"/>
        <v>6</v>
      </c>
    </row>
    <row r="87">
      <c r="A87" s="72">
        <f t="shared" si="2"/>
        <v>7</v>
      </c>
    </row>
    <row r="88">
      <c r="A88" s="72">
        <f t="shared" si="2"/>
        <v>8</v>
      </c>
    </row>
    <row r="89">
      <c r="A89" s="72">
        <f t="shared" si="2"/>
        <v>9</v>
      </c>
    </row>
  </sheetData>
  <hyperlinks>
    <hyperlink r:id="rId1" location="title-86d73ad29a" ref="D6"/>
    <hyperlink r:id="rId2" location="fnotef85c23a2092" ref="E7"/>
    <hyperlink r:id="rId3" ref="D17"/>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B7" s="73" t="s">
        <v>296</v>
      </c>
    </row>
    <row r="8">
      <c r="C8" s="8" t="s">
        <v>188</v>
      </c>
      <c r="D8" s="8" t="s">
        <v>189</v>
      </c>
      <c r="E8" s="8" t="s">
        <v>190</v>
      </c>
      <c r="G8" s="18" t="s">
        <v>297</v>
      </c>
      <c r="H8" s="18" t="s">
        <v>298</v>
      </c>
      <c r="I8" s="8" t="s">
        <v>193</v>
      </c>
    </row>
    <row r="9">
      <c r="C9" s="8">
        <v>2023.0</v>
      </c>
      <c r="D9" s="8">
        <v>100.0</v>
      </c>
      <c r="E9" s="17">
        <f t="shared" ref="E9:E11" si="1">(D9*10^6)/I9</f>
        <v>0.01647771887</v>
      </c>
      <c r="G9" s="44">
        <v>8.09173493E9</v>
      </c>
      <c r="H9" s="8">
        <v>0.75</v>
      </c>
      <c r="I9" s="17">
        <f t="shared" ref="I9:I11" si="2">G9*H9</f>
        <v>6068801198</v>
      </c>
    </row>
    <row r="10">
      <c r="C10" s="8">
        <v>2024.0</v>
      </c>
      <c r="D10" s="8">
        <v>350.0</v>
      </c>
      <c r="E10" s="17">
        <f t="shared" si="1"/>
        <v>0.05717572101</v>
      </c>
      <c r="G10" s="44">
        <v>8.161972572E9</v>
      </c>
      <c r="H10" s="8">
        <v>0.75</v>
      </c>
      <c r="I10" s="17">
        <f t="shared" si="2"/>
        <v>6121479429</v>
      </c>
    </row>
    <row r="11">
      <c r="C11" s="8">
        <v>2025.0</v>
      </c>
      <c r="D11" s="8">
        <v>700.0</v>
      </c>
      <c r="E11" s="17">
        <f t="shared" si="1"/>
        <v>0.1133840142</v>
      </c>
      <c r="G11" s="44">
        <v>8.23161307E9</v>
      </c>
      <c r="H11" s="8">
        <v>0.75</v>
      </c>
      <c r="I11" s="17">
        <f t="shared" si="2"/>
        <v>6173709803</v>
      </c>
    </row>
  </sheetData>
  <hyperlinks>
    <hyperlink r:id="rId1" ref="G8"/>
    <hyperlink r:id="rId2" ref="H8"/>
  </hyperlinks>
  <drawing r:id="rId3"/>
</worksheet>
</file>